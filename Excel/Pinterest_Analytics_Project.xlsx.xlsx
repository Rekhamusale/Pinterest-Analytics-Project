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"/>
    </mc:Choice>
  </mc:AlternateContent>
  <xr:revisionPtr revIDLastSave="569" documentId="11_F25DC773A252ABDACC104889019A7CC25BDE58EF" xr6:coauthVersionLast="47" xr6:coauthVersionMax="47" xr10:uidLastSave="{B6A5220A-F0AB-4D4B-9051-2D9E5D027FB1}"/>
  <bookViews>
    <workbookView xWindow="-110" yWindow="-110" windowWidth="19420" windowHeight="10300" firstSheet="1" activeTab="5" xr2:uid="{00000000-000D-0000-FFFF-FFFF00000000}"/>
  </bookViews>
  <sheets>
    <sheet name="README" sheetId="1" r:id="rId1"/>
    <sheet name="Raw_Data" sheetId="2" r:id="rId2"/>
    <sheet name="Daily_Summary" sheetId="3" r:id="rId3"/>
    <sheet name="Catogery_Analysis" sheetId="7" r:id="rId4"/>
    <sheet name="Hook_Analysis" sheetId="8" r:id="rId5"/>
    <sheet name="Dashboard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3" i="9"/>
  <c r="B3" i="8"/>
  <c r="B4" i="8"/>
  <c r="C3" i="8"/>
  <c r="C4" i="8"/>
  <c r="C2" i="8"/>
  <c r="B2" i="8"/>
  <c r="C3" i="7"/>
  <c r="C4" i="7"/>
  <c r="C5" i="7"/>
  <c r="C2" i="7"/>
  <c r="B3" i="7"/>
  <c r="B4" i="7"/>
  <c r="B5" i="7"/>
  <c r="B2" i="7"/>
</calcChain>
</file>

<file path=xl/sharedStrings.xml><?xml version="1.0" encoding="utf-8"?>
<sst xmlns="http://schemas.openxmlformats.org/spreadsheetml/2006/main" count="131" uniqueCount="94">
  <si>
    <t>A</t>
  </si>
  <si>
    <t>B</t>
  </si>
  <si>
    <t>Project Name</t>
  </si>
  <si>
    <t>Created By</t>
  </si>
  <si>
    <t>Goal</t>
  </si>
  <si>
    <t>Business</t>
  </si>
  <si>
    <t>Data Source</t>
  </si>
  <si>
    <t>Start Date</t>
  </si>
  <si>
    <t>Current Module</t>
  </si>
  <si>
    <t>status</t>
  </si>
  <si>
    <t>Pinterest Analytics Project</t>
  </si>
  <si>
    <t>M.Sai Rekha</t>
  </si>
  <si>
    <t>Become Job Ready Data Analyst</t>
  </si>
  <si>
    <t>Smart Home Finds Hub</t>
  </si>
  <si>
    <t>Basic Excel</t>
  </si>
  <si>
    <t>Day 1</t>
  </si>
  <si>
    <t>Date</t>
  </si>
  <si>
    <t>Pin ID</t>
  </si>
  <si>
    <t>Category</t>
  </si>
  <si>
    <t>Board</t>
  </si>
  <si>
    <t>Product</t>
  </si>
  <si>
    <t>Hook Type</t>
  </si>
  <si>
    <t>Price</t>
  </si>
  <si>
    <t>Time Posted</t>
  </si>
  <si>
    <t>Impressions</t>
  </si>
  <si>
    <t>Saves</t>
  </si>
  <si>
    <t>OutBound Clicks</t>
  </si>
  <si>
    <t>Pin clicks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</si>
  <si>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</si>
  <si>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</si>
  <si>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</si>
  <si>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</si>
  <si>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</si>
  <si>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</si>
  <si>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</si>
  <si>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</si>
  <si>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</si>
  <si>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</si>
  <si>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Lunch Box</t>
  </si>
  <si>
    <t>Water Bottle</t>
  </si>
  <si>
    <t>Storage Basket</t>
  </si>
  <si>
    <t>School Bag</t>
  </si>
  <si>
    <t>Watter Bottle</t>
  </si>
  <si>
    <t>Oil Dispenser</t>
  </si>
  <si>
    <t>Kids</t>
  </si>
  <si>
    <t>Home</t>
  </si>
  <si>
    <t>kitchen</t>
  </si>
  <si>
    <t>Steel Lunch Box</t>
  </si>
  <si>
    <t>Sports Bottle</t>
  </si>
  <si>
    <t>Woven Basket</t>
  </si>
  <si>
    <t>Bento Box</t>
  </si>
  <si>
    <t>Backpack</t>
  </si>
  <si>
    <t>Bottle Set</t>
  </si>
  <si>
    <t>Storage Bin</t>
  </si>
  <si>
    <t>Leakproof Box</t>
  </si>
  <si>
    <t>Glass Bottle</t>
  </si>
  <si>
    <t>Kids Bottle</t>
  </si>
  <si>
    <t>Benefit</t>
  </si>
  <si>
    <t>Emotional</t>
  </si>
  <si>
    <t>Metric</t>
  </si>
  <si>
    <t>Value</t>
  </si>
  <si>
    <t>Total Pins</t>
  </si>
  <si>
    <t>Total Impressions</t>
  </si>
  <si>
    <t>Average Impressions</t>
  </si>
  <si>
    <t>Highest Impressions</t>
  </si>
  <si>
    <t>Lowest Impressions</t>
  </si>
  <si>
    <t>Total Saves</t>
  </si>
  <si>
    <t>Total Pin Clicks</t>
  </si>
  <si>
    <t>Total Outbound Clicks</t>
  </si>
  <si>
    <t>Lunch box has the highest Impressions</t>
  </si>
  <si>
    <t>School bag has the lowest impressions</t>
  </si>
  <si>
    <t>Lunch box should be prioritized for future pinterest posts</t>
  </si>
  <si>
    <t>Which Hook gets the most impressions?</t>
  </si>
  <si>
    <t>Benefit Hook(297 impressions)</t>
  </si>
  <si>
    <t>Which hook appers most often?</t>
  </si>
  <si>
    <t>Price and Benefits are tied(4 pins each)</t>
  </si>
  <si>
    <t>which hook performs best?</t>
  </si>
  <si>
    <t>benefit hook</t>
  </si>
  <si>
    <t>What should you do next?</t>
  </si>
  <si>
    <t>Cerate more pinterest pins using Benefit_bassed hooks?</t>
  </si>
  <si>
    <t>Examples:</t>
  </si>
  <si>
    <t>"keeps food fresh for hours"</t>
  </si>
  <si>
    <t>"No more lunch leaks"</t>
  </si>
  <si>
    <t>Perfeect for school &amp; office"</t>
  </si>
  <si>
    <t>Total pins</t>
  </si>
  <si>
    <t>Best Category</t>
  </si>
  <si>
    <t>Best Hook</t>
  </si>
  <si>
    <t>KPL</t>
  </si>
  <si>
    <t>Pinterest Analytics DashBoard</t>
  </si>
  <si>
    <t>Key Insights</t>
  </si>
  <si>
    <t>School bags has lowest impressions</t>
  </si>
  <si>
    <t>Lunch box Has highest impressions</t>
  </si>
  <si>
    <t>Benefit hook generate the most impressions</t>
  </si>
  <si>
    <t>Focus future  pinterest pins on lunch box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</si>
</sst>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0" xfId="0" applyFill="1"/>
    <xf numFmtId="0" fontId="7" fillId="0" borderId="0" xfId="0" applyFont="1"/>
    <xf numFmtId="0" fontId="6" fillId="7" borderId="1" xfId="0" applyFont="1" applyFill="1" applyBorder="1"/>
    <xf numFmtId="0" fontId="6" fillId="7" borderId="2" xfId="0" applyFont="1" applyFill="1" applyBorder="1"/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Catogery_Analysis!$C$1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Catogery_Analysis!$A$2:$A$5</c:f>
              <c:strCache>
                <c:ptCount val="4"/>
                <c:pt idx="0">
                  <c:v>Lunch Box</c:v>
                </c:pt>
                <c:pt idx="1">
                  <c:v>Water Bottle</c:v>
                </c:pt>
                <c:pt idx="2">
                  <c:v>Storage Basket</c:v>
                </c:pt>
                <c:pt idx="3">
                  <c:v>School Bag</c:v>
                </c:pt>
              </c:strCache>
            </c:strRef>
          </c:cat>
          <c:val>
            <c:numRef>
              <c:f>Catogery_Analysis!$C$2:$C$5</c:f>
              <c:numCache>
                <c:formatCode>General</c:formatCode>
                <c:ptCount val="4"/>
                <c:pt idx="0">
                  <c:v>220</c:v>
                </c:pt>
                <c:pt idx="1">
                  <c:v>147</c:v>
                </c:pt>
                <c:pt idx="2">
                  <c:v>108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6-4F55-A430-DBF7C3A7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289616"/>
        <c:axId val="2056077776"/>
      </c:barChart>
      <c:catAx>
        <c:axId val="204828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77776"/>
        <c:crosses val="autoZero"/>
        <c:auto val="1"/>
        <c:lblAlgn val="ctr"/>
        <c:lblOffset val="100"/>
        <c:noMultiLvlLbl val="0"/>
      </c:catAx>
      <c:valAx>
        <c:axId val="20560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8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Hook_Analysis!$C$1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Hook_Analysis!$A$2:$A$4</c:f>
              <c:strCache>
                <c:ptCount val="3"/>
                <c:pt idx="0">
                  <c:v>Price</c:v>
                </c:pt>
                <c:pt idx="1">
                  <c:v>Benefit</c:v>
                </c:pt>
                <c:pt idx="2">
                  <c:v>Emotional</c:v>
                </c:pt>
              </c:strCache>
            </c:strRef>
          </c:cat>
          <c:val>
            <c:numRef>
              <c:f>Hook_Analysis!$C$2:$C$5</c:f>
              <c:numCache>
                <c:formatCode>General</c:formatCode>
                <c:ptCount val="4"/>
                <c:pt idx="0">
                  <c:v>173</c:v>
                </c:pt>
                <c:pt idx="1">
                  <c:v>297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F-4BCF-A177-FCBADE6A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75664"/>
        <c:axId val="2056037456"/>
      </c:barChart>
      <c:catAx>
        <c:axId val="533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37456"/>
        <c:crosses val="autoZero"/>
        <c:auto val="1"/>
        <c:lblAlgn val="ctr"/>
        <c:lblOffset val="100"/>
        <c:noMultiLvlLbl val="0"/>
      </c:catAx>
      <c:valAx>
        <c:axId val="20560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266700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A86E3-337D-484A-A73D-6187904E6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7</xdr:col>
      <xdr:colOff>603250</xdr:colOff>
      <xdr:row>43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52871F-50BE-4BD0-BBE2-E770AEAB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G5" sqref="G5"/>
    </sheetView>
  </sheetViews>
  <sheetFormatPr defaultRowHeight="14.5" x14ac:dyDescent="0.35"/>
  <cols>
    <col min="1" max="2" width="36.81640625" customWidth="1"/>
  </cols>
  <sheetData>
    <row r="1" spans="1:2" ht="36.5" customHeight="1" x14ac:dyDescent="0.35">
      <c r="A1" s="7" t="s">
        <v>0</v>
      </c>
      <c r="B1" s="8" t="s">
        <v>1</v>
      </c>
    </row>
    <row r="2" spans="1:2" ht="30" customHeight="1" x14ac:dyDescent="0.35">
      <c r="A2" s="2" t="s">
        <v>2</v>
      </c>
      <c r="B2" s="3" t="s">
        <v>10</v>
      </c>
    </row>
    <row r="3" spans="1:2" ht="29" customHeight="1" x14ac:dyDescent="0.35">
      <c r="A3" s="2" t="s">
        <v>3</v>
      </c>
      <c r="B3" s="3" t="s">
        <v>11</v>
      </c>
    </row>
    <row r="4" spans="1:2" ht="27.5" customHeight="1" x14ac:dyDescent="0.35">
      <c r="A4" s="2" t="s">
        <v>4</v>
      </c>
      <c r="B4" s="3" t="s">
        <v>12</v>
      </c>
    </row>
    <row r="5" spans="1:2" ht="29" customHeight="1" x14ac:dyDescent="0.35">
      <c r="A5" s="2" t="s">
        <v>5</v>
      </c>
      <c r="B5" s="3" t="s">
        <v>13</v>
      </c>
    </row>
    <row r="6" spans="1:2" ht="33" customHeight="1" x14ac:dyDescent="0.35">
      <c r="A6" s="2" t="s">
        <v>6</v>
      </c>
      <c r="B6" s="3" t="s">
        <v>10</v>
      </c>
    </row>
    <row r="7" spans="1:2" ht="28.5" customHeight="1" x14ac:dyDescent="0.35">
      <c r="A7" s="2" t="s">
        <v>7</v>
      </c>
      <c r="B7" s="4">
        <v>46204</v>
      </c>
    </row>
    <row r="8" spans="1:2" ht="27.5" customHeight="1" x14ac:dyDescent="0.35">
      <c r="A8" s="2" t="s">
        <v>8</v>
      </c>
      <c r="B8" s="3" t="s">
        <v>14</v>
      </c>
    </row>
    <row r="9" spans="1:2" ht="29.5" customHeight="1" thickBot="1" x14ac:dyDescent="0.4">
      <c r="A9" s="5" t="s">
        <v>9</v>
      </c>
      <c r="B9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8CB3-C032-407E-8602-10B207A6147C}">
  <dimension ref="A1:AA16"/>
  <sheetViews>
    <sheetView topLeftCell="F1" workbookViewId="0">
      <pane ySplit="1" topLeftCell="A7" activePane="bottomLeft" state="frozen"/>
      <selection pane="bottomLeft" activeCell="B2" sqref="B2"/>
    </sheetView>
  </sheetViews>
  <sheetFormatPr defaultRowHeight="14.5" x14ac:dyDescent="0.35"/>
  <cols>
    <col min="1" max="13" width="23.26953125" style="9" customWidth="1"/>
    <col min="14" max="27" width="8.7265625" style="9"/>
  </cols>
  <sheetData>
    <row r="1" spans="1:19" s="11" customFormat="1" ht="28.5" customHeight="1" x14ac:dyDescent="0.35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27</v>
      </c>
      <c r="L1" s="11" t="s">
        <v>26</v>
      </c>
    </row>
    <row r="2" spans="1:19" ht="29.5" customHeight="1" x14ac:dyDescent="0.35">
      <c r="A2" s="12">
        <v>46204</v>
      </c>
      <c r="B2" s="1" t="s">
        <v>28</v>
      </c>
      <c r="C2" s="1" t="s">
        <v>38</v>
      </c>
      <c r="D2" s="1" t="s">
        <v>44</v>
      </c>
      <c r="E2" s="1" t="s">
        <v>47</v>
      </c>
      <c r="F2" s="1" t="s">
        <v>22</v>
      </c>
      <c r="G2" s="15">
        <v>499</v>
      </c>
      <c r="H2" s="14">
        <v>0.83333333333333337</v>
      </c>
      <c r="I2" s="1">
        <v>45</v>
      </c>
      <c r="J2" s="1">
        <v>2</v>
      </c>
      <c r="K2" s="1">
        <v>1</v>
      </c>
      <c r="L2" s="1">
        <v>0</v>
      </c>
      <c r="M2" s="1"/>
      <c r="N2" s="1"/>
      <c r="O2" s="1"/>
      <c r="P2" s="1"/>
      <c r="Q2" s="1"/>
      <c r="R2" s="1"/>
      <c r="S2" s="1"/>
    </row>
    <row r="3" spans="1:19" ht="31" customHeight="1" x14ac:dyDescent="0.35">
      <c r="A3" s="12">
        <v>46204</v>
      </c>
      <c r="B3" s="1" t="s">
        <v>29</v>
      </c>
      <c r="C3" s="1" t="s">
        <v>39</v>
      </c>
      <c r="D3" s="1" t="s">
        <v>44</v>
      </c>
      <c r="E3" s="13" t="s">
        <v>48</v>
      </c>
      <c r="F3" s="1" t="s">
        <v>57</v>
      </c>
      <c r="G3" s="15">
        <v>399</v>
      </c>
      <c r="H3" s="14">
        <v>0.83333333333333337</v>
      </c>
      <c r="I3" s="1">
        <v>62</v>
      </c>
      <c r="J3" s="1">
        <v>3</v>
      </c>
      <c r="K3" s="1">
        <v>2</v>
      </c>
      <c r="L3" s="1">
        <v>1</v>
      </c>
      <c r="M3" s="1"/>
      <c r="N3" s="1"/>
      <c r="O3" s="1"/>
      <c r="P3" s="1"/>
      <c r="Q3" s="1"/>
      <c r="R3" s="1"/>
      <c r="S3" s="1"/>
    </row>
    <row r="4" spans="1:19" ht="30" customHeight="1" x14ac:dyDescent="0.35">
      <c r="A4" s="12">
        <v>46204</v>
      </c>
      <c r="B4" s="1" t="s">
        <v>30</v>
      </c>
      <c r="C4" s="1" t="s">
        <v>40</v>
      </c>
      <c r="D4" s="1" t="s">
        <v>45</v>
      </c>
      <c r="E4" s="13" t="s">
        <v>49</v>
      </c>
      <c r="F4" s="1" t="s">
        <v>22</v>
      </c>
      <c r="G4" s="15">
        <v>399</v>
      </c>
      <c r="H4" s="14">
        <v>0.79166666666666663</v>
      </c>
      <c r="I4" s="1">
        <v>38</v>
      </c>
      <c r="J4" s="1">
        <v>1</v>
      </c>
      <c r="K4" s="1">
        <v>0</v>
      </c>
      <c r="L4" s="1">
        <v>0</v>
      </c>
      <c r="M4" s="1"/>
      <c r="N4" s="1"/>
      <c r="O4" s="1"/>
      <c r="P4" s="1"/>
      <c r="Q4" s="1"/>
      <c r="R4" s="1"/>
      <c r="S4" s="1"/>
    </row>
    <row r="5" spans="1:19" ht="29" customHeight="1" x14ac:dyDescent="0.35">
      <c r="A5" s="12">
        <v>46205</v>
      </c>
      <c r="B5" s="1" t="s">
        <v>31</v>
      </c>
      <c r="C5" s="1" t="s">
        <v>38</v>
      </c>
      <c r="D5" s="1" t="s">
        <v>44</v>
      </c>
      <c r="E5" s="1" t="s">
        <v>50</v>
      </c>
      <c r="F5" s="1" t="s">
        <v>57</v>
      </c>
      <c r="G5" s="15">
        <v>399</v>
      </c>
      <c r="H5" s="14">
        <v>0.875</v>
      </c>
      <c r="I5" s="1">
        <v>80</v>
      </c>
      <c r="J5" s="1">
        <v>5</v>
      </c>
      <c r="K5" s="1">
        <v>4</v>
      </c>
      <c r="L5" s="1">
        <v>2</v>
      </c>
      <c r="M5" s="1"/>
      <c r="N5" s="1"/>
      <c r="O5" s="1"/>
      <c r="P5" s="1"/>
      <c r="Q5" s="1"/>
      <c r="R5" s="1"/>
      <c r="S5" s="1"/>
    </row>
    <row r="6" spans="1:19" ht="29.5" customHeight="1" x14ac:dyDescent="0.35">
      <c r="A6" s="12">
        <v>46205</v>
      </c>
      <c r="B6" s="1" t="s">
        <v>32</v>
      </c>
      <c r="C6" s="1" t="s">
        <v>41</v>
      </c>
      <c r="D6" s="1" t="s">
        <v>44</v>
      </c>
      <c r="E6" s="1" t="s">
        <v>51</v>
      </c>
      <c r="F6" s="1" t="s">
        <v>58</v>
      </c>
      <c r="G6" s="15">
        <v>399</v>
      </c>
      <c r="H6" s="14">
        <v>0.83333333333333337</v>
      </c>
      <c r="I6" s="1">
        <v>55</v>
      </c>
      <c r="J6" s="1">
        <v>2</v>
      </c>
      <c r="K6" s="1">
        <v>2</v>
      </c>
      <c r="L6" s="1">
        <v>1</v>
      </c>
      <c r="M6" s="1"/>
      <c r="N6" s="1"/>
      <c r="O6" s="1"/>
      <c r="P6" s="1"/>
      <c r="Q6" s="1"/>
      <c r="R6" s="1"/>
      <c r="S6" s="1"/>
    </row>
    <row r="7" spans="1:19" ht="31.5" customHeight="1" x14ac:dyDescent="0.35">
      <c r="A7" s="12">
        <v>46205</v>
      </c>
      <c r="B7" s="1" t="s">
        <v>33</v>
      </c>
      <c r="C7" s="1" t="s">
        <v>42</v>
      </c>
      <c r="D7" s="1" t="s">
        <v>44</v>
      </c>
      <c r="E7" s="1" t="s">
        <v>52</v>
      </c>
      <c r="F7" s="1" t="s">
        <v>22</v>
      </c>
      <c r="G7" s="15">
        <v>399</v>
      </c>
      <c r="H7" s="14">
        <v>0.75</v>
      </c>
      <c r="I7" s="1">
        <v>40</v>
      </c>
      <c r="J7" s="1">
        <v>1</v>
      </c>
      <c r="K7" s="1">
        <v>1</v>
      </c>
      <c r="L7" s="1">
        <v>0</v>
      </c>
      <c r="M7" s="1"/>
      <c r="N7" s="1"/>
      <c r="O7" s="1"/>
      <c r="P7" s="1"/>
      <c r="Q7" s="1"/>
      <c r="R7" s="1"/>
      <c r="S7" s="1"/>
    </row>
    <row r="8" spans="1:19" ht="30.5" customHeight="1" x14ac:dyDescent="0.35">
      <c r="A8" s="12">
        <v>46206</v>
      </c>
      <c r="B8" s="1" t="s">
        <v>34</v>
      </c>
      <c r="C8" s="1" t="s">
        <v>40</v>
      </c>
      <c r="D8" s="1" t="s">
        <v>45</v>
      </c>
      <c r="E8" s="1" t="s">
        <v>53</v>
      </c>
      <c r="F8" s="1" t="s">
        <v>57</v>
      </c>
      <c r="G8" s="15">
        <v>399</v>
      </c>
      <c r="H8" s="14">
        <v>0.83333333333333337</v>
      </c>
      <c r="I8" s="1">
        <v>70</v>
      </c>
      <c r="J8" s="1">
        <v>4</v>
      </c>
      <c r="K8" s="1">
        <v>3</v>
      </c>
      <c r="L8" s="1">
        <v>2</v>
      </c>
      <c r="M8" s="1"/>
      <c r="N8" s="1"/>
      <c r="O8" s="1"/>
      <c r="P8" s="1"/>
      <c r="Q8" s="1"/>
      <c r="R8" s="1"/>
      <c r="S8" s="1"/>
    </row>
    <row r="9" spans="1:19" ht="29.5" customHeight="1" x14ac:dyDescent="0.35">
      <c r="A9" s="12">
        <v>46206</v>
      </c>
      <c r="B9" s="1" t="s">
        <v>35</v>
      </c>
      <c r="C9" s="1" t="s">
        <v>38</v>
      </c>
      <c r="D9" s="1" t="s">
        <v>44</v>
      </c>
      <c r="E9" s="1" t="s">
        <v>54</v>
      </c>
      <c r="F9" s="1" t="s">
        <v>58</v>
      </c>
      <c r="G9" s="15">
        <v>699</v>
      </c>
      <c r="H9" s="14">
        <v>0.875</v>
      </c>
      <c r="I9" s="1">
        <v>95</v>
      </c>
      <c r="J9" s="1">
        <v>6</v>
      </c>
      <c r="K9" s="1">
        <v>5</v>
      </c>
      <c r="L9" s="1">
        <v>3</v>
      </c>
      <c r="M9" s="1"/>
      <c r="N9" s="1"/>
      <c r="O9" s="1"/>
      <c r="P9" s="1"/>
      <c r="Q9" s="1"/>
      <c r="R9" s="1"/>
      <c r="S9" s="1"/>
    </row>
    <row r="10" spans="1:19" ht="29.5" customHeight="1" x14ac:dyDescent="0.35">
      <c r="A10" s="12">
        <v>46206</v>
      </c>
      <c r="B10" s="1" t="s">
        <v>36</v>
      </c>
      <c r="C10" s="1" t="s">
        <v>43</v>
      </c>
      <c r="D10" s="1" t="s">
        <v>46</v>
      </c>
      <c r="E10" s="1" t="s">
        <v>55</v>
      </c>
      <c r="F10" s="1" t="s">
        <v>22</v>
      </c>
      <c r="G10" s="15">
        <v>699</v>
      </c>
      <c r="H10" s="14">
        <v>0.79166666666666663</v>
      </c>
      <c r="I10" s="1">
        <v>50</v>
      </c>
      <c r="J10" s="1">
        <v>2</v>
      </c>
      <c r="K10" s="1">
        <v>2</v>
      </c>
      <c r="L10" s="1">
        <v>1</v>
      </c>
      <c r="M10" s="1"/>
      <c r="N10" s="1"/>
      <c r="O10" s="1"/>
      <c r="P10" s="1"/>
      <c r="Q10" s="1"/>
      <c r="R10" s="1"/>
      <c r="S10" s="1"/>
    </row>
    <row r="11" spans="1:19" ht="28.5" customHeight="1" x14ac:dyDescent="0.35">
      <c r="A11" s="12">
        <v>46206</v>
      </c>
      <c r="B11" s="1" t="s">
        <v>37</v>
      </c>
      <c r="C11" s="1" t="s">
        <v>39</v>
      </c>
      <c r="D11" s="1" t="s">
        <v>44</v>
      </c>
      <c r="E11" s="1" t="s">
        <v>56</v>
      </c>
      <c r="F11" s="1" t="s">
        <v>57</v>
      </c>
      <c r="G11" s="15">
        <v>699</v>
      </c>
      <c r="H11" s="14">
        <v>0.83333333333333337</v>
      </c>
      <c r="I11" s="1">
        <v>85</v>
      </c>
      <c r="J11" s="1">
        <v>5</v>
      </c>
      <c r="K11" s="1">
        <v>4</v>
      </c>
      <c r="L11" s="1">
        <v>2</v>
      </c>
      <c r="M11" s="1"/>
      <c r="N11" s="1"/>
      <c r="O11" s="1"/>
      <c r="P11" s="1"/>
      <c r="Q11" s="1"/>
      <c r="R11" s="1"/>
      <c r="S11" s="1"/>
    </row>
    <row r="12" spans="1:19" x14ac:dyDescent="0.35">
      <c r="A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6" spans="1:19" x14ac:dyDescent="0.35">
      <c r="B16" s="1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7475-7190-4A2A-8176-4EB35DF269F4}">
  <dimension ref="A1:B10"/>
  <sheetViews>
    <sheetView workbookViewId="0">
      <selection activeCell="D4" sqref="D4"/>
    </sheetView>
  </sheetViews>
  <sheetFormatPr defaultRowHeight="14.5" x14ac:dyDescent="0.35"/>
  <cols>
    <col min="1" max="2" width="18.1796875" customWidth="1"/>
  </cols>
  <sheetData>
    <row r="1" spans="1:2" s="16" customFormat="1" ht="30.5" customHeight="1" x14ac:dyDescent="0.35">
      <c r="A1" s="10" t="s">
        <v>59</v>
      </c>
      <c r="B1" s="10" t="s">
        <v>60</v>
      </c>
    </row>
    <row r="2" spans="1:2" ht="27.5" customHeight="1" x14ac:dyDescent="0.35">
      <c r="A2" s="1" t="s">
        <v>61</v>
      </c>
      <c r="B2" s="1"/>
    </row>
    <row r="3" spans="1:2" ht="28.5" customHeight="1" x14ac:dyDescent="0.35">
      <c r="A3" s="1" t="s">
        <v>62</v>
      </c>
      <c r="B3" s="1"/>
    </row>
    <row r="4" spans="1:2" ht="28.5" customHeight="1" x14ac:dyDescent="0.35">
      <c r="A4" s="1" t="s">
        <v>66</v>
      </c>
      <c r="B4" s="1"/>
    </row>
    <row r="5" spans="1:2" ht="28.5" customHeight="1" x14ac:dyDescent="0.35">
      <c r="A5" s="1" t="s">
        <v>67</v>
      </c>
      <c r="B5" s="1"/>
    </row>
    <row r="6" spans="1:2" ht="28.5" customHeight="1" x14ac:dyDescent="0.35">
      <c r="A6" s="1" t="s">
        <v>68</v>
      </c>
      <c r="B6" s="1"/>
    </row>
    <row r="7" spans="1:2" ht="30" customHeight="1" x14ac:dyDescent="0.35">
      <c r="A7" s="1" t="s">
        <v>63</v>
      </c>
      <c r="B7" s="1"/>
    </row>
    <row r="8" spans="1:2" ht="29" customHeight="1" x14ac:dyDescent="0.35">
      <c r="A8" s="1" t="s">
        <v>64</v>
      </c>
      <c r="B8" s="1"/>
    </row>
    <row r="9" spans="1:2" ht="26.5" customHeight="1" x14ac:dyDescent="0.35">
      <c r="A9" s="1" t="s">
        <v>65</v>
      </c>
      <c r="B9" s="1"/>
    </row>
    <row r="10" spans="1:2" x14ac:dyDescent="0.35">
      <c r="A10" s="1"/>
      <c r="B10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EE48-C869-4D70-9D96-D219F2E2A18C}">
  <dimension ref="A1:D10"/>
  <sheetViews>
    <sheetView workbookViewId="0">
      <selection activeCell="C1" sqref="C1:C5"/>
    </sheetView>
  </sheetViews>
  <sheetFormatPr defaultRowHeight="14.5" x14ac:dyDescent="0.35"/>
  <cols>
    <col min="1" max="3" width="15.81640625" customWidth="1"/>
  </cols>
  <sheetData>
    <row r="1" spans="1:4" s="17" customFormat="1" ht="22" customHeight="1" thickBot="1" x14ac:dyDescent="0.4">
      <c r="A1" s="18" t="s">
        <v>18</v>
      </c>
      <c r="B1" s="18" t="s">
        <v>61</v>
      </c>
      <c r="C1" s="18" t="s">
        <v>62</v>
      </c>
    </row>
    <row r="2" spans="1:4" x14ac:dyDescent="0.35">
      <c r="A2" s="19" t="s">
        <v>38</v>
      </c>
      <c r="B2" s="20">
        <f>COUNTIF(Raw_Data!C:C,A2)</f>
        <v>3</v>
      </c>
      <c r="C2" s="21">
        <f>SUMIF(Raw_Data!C:C,A2,Raw_Data!I:I)</f>
        <v>220</v>
      </c>
    </row>
    <row r="3" spans="1:4" x14ac:dyDescent="0.35">
      <c r="A3" s="22" t="s">
        <v>39</v>
      </c>
      <c r="B3" s="23">
        <f>COUNTIF(Raw_Data!C:C,A3)</f>
        <v>2</v>
      </c>
      <c r="C3" s="24">
        <f>SUMIF(Raw_Data!C:C,A3,Raw_Data!I:I)</f>
        <v>147</v>
      </c>
    </row>
    <row r="4" spans="1:4" x14ac:dyDescent="0.35">
      <c r="A4" s="22" t="s">
        <v>40</v>
      </c>
      <c r="B4" s="23">
        <f>COUNTIF(Raw_Data!C:C,A4)</f>
        <v>2</v>
      </c>
      <c r="C4" s="24">
        <f>SUMIF(Raw_Data!C:C,A4,Raw_Data!I:I)</f>
        <v>108</v>
      </c>
    </row>
    <row r="5" spans="1:4" ht="15" thickBot="1" x14ac:dyDescent="0.4">
      <c r="A5" s="25" t="s">
        <v>41</v>
      </c>
      <c r="B5" s="26">
        <f>COUNTIF(Raw_Data!C:C,A5)</f>
        <v>1</v>
      </c>
      <c r="C5" s="27">
        <f>SUMIF(Raw_Data!C:C,A5,Raw_Data!I:I)</f>
        <v>55</v>
      </c>
    </row>
    <row r="7" spans="1:4" ht="44" customHeight="1" x14ac:dyDescent="0.35">
      <c r="A7" s="28" t="s">
        <v>69</v>
      </c>
      <c r="B7" s="28"/>
      <c r="C7" s="28"/>
      <c r="D7" s="28"/>
    </row>
    <row r="8" spans="1:4" ht="44" customHeight="1" x14ac:dyDescent="0.35">
      <c r="A8" s="28" t="s">
        <v>70</v>
      </c>
      <c r="B8" s="28"/>
      <c r="C8" s="28"/>
      <c r="D8" s="28"/>
    </row>
    <row r="9" spans="1:4" ht="44" customHeight="1" x14ac:dyDescent="0.35">
      <c r="A9" s="28" t="s">
        <v>71</v>
      </c>
      <c r="B9" s="28"/>
      <c r="C9" s="28"/>
      <c r="D9" s="28"/>
    </row>
    <row r="10" spans="1:4" s="1" customFormat="1" ht="44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6DA0-C36E-4D5D-8E30-9CC839CAE4F1}">
  <dimension ref="A1:C23"/>
  <sheetViews>
    <sheetView workbookViewId="0">
      <selection activeCell="B2" sqref="B2"/>
    </sheetView>
  </sheetViews>
  <sheetFormatPr defaultRowHeight="14.5" x14ac:dyDescent="0.35"/>
  <cols>
    <col min="1" max="1" width="9.6328125" bestFit="1" customWidth="1"/>
    <col min="2" max="2" width="8.81640625" bestFit="1" customWidth="1"/>
    <col min="3" max="3" width="15.6328125" bestFit="1" customWidth="1"/>
  </cols>
  <sheetData>
    <row r="1" spans="1:3" x14ac:dyDescent="0.35">
      <c r="A1" s="29" t="s">
        <v>21</v>
      </c>
      <c r="B1" s="29" t="s">
        <v>61</v>
      </c>
      <c r="C1" s="29" t="s">
        <v>62</v>
      </c>
    </row>
    <row r="2" spans="1:3" x14ac:dyDescent="0.35">
      <c r="A2" t="s">
        <v>22</v>
      </c>
      <c r="B2">
        <f>COUNTIF(Raw_Data!F:F,A2)</f>
        <v>4</v>
      </c>
      <c r="C2">
        <f>SUMIF(Raw_Data!F:F,A2,Raw_Data!I:I)</f>
        <v>173</v>
      </c>
    </row>
    <row r="3" spans="1:3" x14ac:dyDescent="0.35">
      <c r="A3" t="s">
        <v>57</v>
      </c>
      <c r="B3">
        <f>COUNTIF(Raw_Data!F:F,A3)</f>
        <v>4</v>
      </c>
      <c r="C3">
        <f>SUMIF(Raw_Data!F:F,A3,Raw_Data!I:I)</f>
        <v>297</v>
      </c>
    </row>
    <row r="4" spans="1:3" x14ac:dyDescent="0.35">
      <c r="A4" t="s">
        <v>58</v>
      </c>
      <c r="B4">
        <f>COUNTIF(Raw_Data!F:F,A4)</f>
        <v>2</v>
      </c>
      <c r="C4">
        <f>SUMIF(Raw_Data!F:F,A4,Raw_Data!I:I)</f>
        <v>150</v>
      </c>
    </row>
    <row r="7" spans="1:3" x14ac:dyDescent="0.35">
      <c r="C7" t="s">
        <v>72</v>
      </c>
    </row>
    <row r="8" spans="1:3" x14ac:dyDescent="0.35">
      <c r="C8" t="s">
        <v>73</v>
      </c>
    </row>
    <row r="10" spans="1:3" x14ac:dyDescent="0.35">
      <c r="C10" t="s">
        <v>74</v>
      </c>
    </row>
    <row r="11" spans="1:3" x14ac:dyDescent="0.35">
      <c r="C11" t="s">
        <v>75</v>
      </c>
    </row>
    <row r="13" spans="1:3" x14ac:dyDescent="0.35">
      <c r="C13" t="s">
        <v>76</v>
      </c>
    </row>
    <row r="14" spans="1:3" x14ac:dyDescent="0.35">
      <c r="C14" t="s">
        <v>77</v>
      </c>
    </row>
    <row r="16" spans="1:3" x14ac:dyDescent="0.35">
      <c r="C16" t="s">
        <v>78</v>
      </c>
    </row>
    <row r="17" spans="3:3" x14ac:dyDescent="0.35">
      <c r="C17" t="s">
        <v>79</v>
      </c>
    </row>
    <row r="19" spans="3:3" x14ac:dyDescent="0.35">
      <c r="C19" t="s">
        <v>80</v>
      </c>
    </row>
    <row r="21" spans="3:3" x14ac:dyDescent="0.35">
      <c r="C21" t="s">
        <v>81</v>
      </c>
    </row>
    <row r="22" spans="3:3" x14ac:dyDescent="0.35">
      <c r="C22" t="s">
        <v>82</v>
      </c>
    </row>
    <row r="23" spans="3:3" x14ac:dyDescent="0.35">
      <c r="C2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4CB0-A00C-4B66-B4F5-B9EF45CD84CE}">
  <dimension ref="A1:T10"/>
  <sheetViews>
    <sheetView tabSelected="1" zoomScale="49" workbookViewId="0">
      <selection activeCell="V8" sqref="V8"/>
    </sheetView>
  </sheetViews>
  <sheetFormatPr defaultRowHeight="14.5" x14ac:dyDescent="0.35"/>
  <cols>
    <col min="1" max="1" width="22.26953125" bestFit="1" customWidth="1"/>
    <col min="2" max="2" width="13.1796875" bestFit="1" customWidth="1"/>
  </cols>
  <sheetData>
    <row r="1" spans="1:20" s="37" customFormat="1" ht="35.5" customHeight="1" thickBot="1" x14ac:dyDescent="0.4">
      <c r="A1" s="38" t="s">
        <v>88</v>
      </c>
      <c r="B1" s="38"/>
      <c r="C1" s="38"/>
      <c r="D1" s="38"/>
      <c r="E1" s="38"/>
      <c r="F1" s="38"/>
    </row>
    <row r="2" spans="1:20" ht="21" x14ac:dyDescent="0.5">
      <c r="A2" s="31" t="s">
        <v>87</v>
      </c>
      <c r="B2" s="32" t="s">
        <v>60</v>
      </c>
    </row>
    <row r="3" spans="1:20" ht="21" x14ac:dyDescent="0.35">
      <c r="A3" s="33" t="s">
        <v>84</v>
      </c>
      <c r="B3" s="34">
        <f>COUNTA(Raw_Data!B2:B13)</f>
        <v>10</v>
      </c>
    </row>
    <row r="4" spans="1:20" ht="21" x14ac:dyDescent="0.35">
      <c r="A4" s="33" t="s">
        <v>62</v>
      </c>
      <c r="B4" s="34">
        <f>SUM(Raw_Data!I2:I11)</f>
        <v>620</v>
      </c>
    </row>
    <row r="5" spans="1:20" ht="21" x14ac:dyDescent="0.35">
      <c r="A5" s="33" t="s">
        <v>85</v>
      </c>
      <c r="B5" s="34" t="s">
        <v>38</v>
      </c>
    </row>
    <row r="6" spans="1:20" ht="26" x14ac:dyDescent="0.6">
      <c r="A6" s="33" t="s">
        <v>86</v>
      </c>
      <c r="B6" s="34" t="s">
        <v>57</v>
      </c>
      <c r="J6" s="39" t="s">
        <v>89</v>
      </c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24" thickBot="1" x14ac:dyDescent="0.6">
      <c r="A7" s="35"/>
      <c r="B7" s="36"/>
      <c r="J7" s="41" t="s">
        <v>91</v>
      </c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ht="23.5" x14ac:dyDescent="0.55000000000000004">
      <c r="A8" s="30"/>
      <c r="B8" s="30"/>
      <c r="J8" s="41" t="s">
        <v>90</v>
      </c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0" ht="23.5" x14ac:dyDescent="0.55000000000000004">
      <c r="J9" s="41" t="s">
        <v>92</v>
      </c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 ht="23.5" x14ac:dyDescent="0.55000000000000004">
      <c r="J10" s="41" t="s">
        <v>93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</row>
  </sheetData>
  <mergeCells count="6">
    <mergeCell ref="J10:T10"/>
    <mergeCell ref="A1:F1"/>
    <mergeCell ref="J6:T6"/>
    <mergeCell ref="J7:T7"/>
    <mergeCell ref="J8:T8"/>
    <mergeCell ref="J9:T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Daily_Summary</vt:lpstr>
      <vt:lpstr>Catogery_Analysis</vt:lpstr>
      <vt:lpstr>Hook_Analysis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2015-06-05T18:17:20Z</dcterms:created>
  <dcterms:modified xsi:type="dcterms:W3CDTF">2026-07-09T14:45:09Z</dcterms:modified>
</cp:coreProperties>
</file>