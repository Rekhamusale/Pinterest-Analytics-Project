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ea116efc88aa0e/Desktop/Pinterest-Analytics-Project/Excel/13_Conditional_Formatting/"/>
    </mc:Choice>
  </mc:AlternateContent>
  <xr:revisionPtr revIDLastSave="0" documentId="8_{B242F3F3-7CB2-4BA5-BE60-B74930F19AF6}" xr6:coauthVersionLast="47" xr6:coauthVersionMax="47" xr10:uidLastSave="{00000000-0000-0000-0000-000000000000}"/>
  <bookViews>
    <workbookView xWindow="-110" yWindow="-110" windowWidth="19420" windowHeight="10300" activeTab="1" xr2:uid="{C2611678-41B4-46ED-8AA2-E2B31FD41F7F}"/>
  </bookViews>
  <sheets>
    <sheet name="pinterest_data" sheetId="1" r:id="rId1"/>
    <sheet name="README" sheetId="3" r:id="rId2"/>
    <sheet name="KPI 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<sst xmlns="http://schemas.openxmlformats.org/spreadsheetml/2006/main" count="73" uniqueCount="58">
  <si>
    <t>Pin</t>
  </si>
  <si>
    <t>Category</t>
  </si>
  <si>
    <t>Impressions</t>
  </si>
  <si>
    <t>Engagements</t>
  </si>
  <si>
    <t>Saves</t>
  </si>
  <si>
    <t>Outbound Clicks</t>
  </si>
  <si>
    <t>Leak-Proof Tiffin Box</t>
  </si>
  <si>
    <t>Lunch Box</t>
  </si>
  <si>
    <t>Wooden Knife Holder</t>
  </si>
  <si>
    <t>Kitchen</t>
  </si>
  <si>
    <t>Airtight Storage Containers</t>
  </si>
  <si>
    <t>Storage</t>
  </si>
  <si>
    <t>Wooden Spice Box</t>
  </si>
  <si>
    <t>Insulated Lunch Bag</t>
  </si>
  <si>
    <t>Stainless Steel Lunch Box Set</t>
  </si>
  <si>
    <t>Sling Bag</t>
  </si>
  <si>
    <t>Handbag</t>
  </si>
  <si>
    <t>Canvas Tote Bag</t>
  </si>
  <si>
    <t>Office College Tote</t>
  </si>
  <si>
    <t>Black Handbag</t>
  </si>
  <si>
    <t>Kitchen Organizer</t>
  </si>
  <si>
    <t>Wall Organizer</t>
  </si>
  <si>
    <t>Metric</t>
  </si>
  <si>
    <t>Value</t>
  </si>
  <si>
    <t>Meaning</t>
  </si>
  <si>
    <t>Total Impressions</t>
  </si>
  <si>
    <t>Total Engagements</t>
  </si>
  <si>
    <t>Total Saves</t>
  </si>
  <si>
    <t>Total Outbound Clicks</t>
  </si>
  <si>
    <t>Highest Impressions</t>
  </si>
  <si>
    <t>Lowest Impressions</t>
  </si>
  <si>
    <t>Average Impressions</t>
  </si>
  <si>
    <t>overall reach generated by pins</t>
  </si>
  <si>
    <t>total user interactions</t>
  </si>
  <si>
    <t>total saves genereated</t>
  </si>
  <si>
    <t>potential traffic generated</t>
  </si>
  <si>
    <t>best-performing impression-count</t>
  </si>
  <si>
    <t>lowest performing impression-count</t>
  </si>
  <si>
    <t>average reach perr pin</t>
  </si>
  <si>
    <t>pin with highest impressions</t>
  </si>
  <si>
    <t>Top Performing Pin</t>
  </si>
  <si>
    <t>Section</t>
  </si>
  <si>
    <t>Content</t>
  </si>
  <si>
    <t>Topic</t>
  </si>
  <si>
    <t>Conditional Formatting</t>
  </si>
  <si>
    <t>Objective</t>
  </si>
  <si>
    <t>Learn how to use Conditional Formatting to identify patterns, high/low values, duplicates, and top/bottom performers.</t>
  </si>
  <si>
    <t>Dataset</t>
  </si>
  <si>
    <t>Pinterest Pin Performance Data</t>
  </si>
  <si>
    <t>Skills Practiced</t>
  </si>
  <si>
    <t>Greater Than, Less Than, Color Scales, Data Bars, Duplicate Values, Top 3, Bottom 3</t>
  </si>
  <si>
    <t>Functions Used</t>
  </si>
  <si>
    <t>SUM, MAX, MIN, AVERAGE, INDEX, MATCH</t>
  </si>
  <si>
    <t>KPIs Analyzed</t>
  </si>
  <si>
    <t>Impressions, Engagements, Saves, Outbound Clicks</t>
  </si>
  <si>
    <t>Top Pin</t>
  </si>
  <si>
    <t>Key Learning</t>
  </si>
  <si>
    <t>Conditional Formatting helps analysts quickly identify trends, exceptions, duplicates, and high/low-performing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</si>
</sst>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74"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theme="5" tint="0.39994506668294322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411B0-4E03-4A1A-959C-0124E10C209F}">
  <dimension ref="A1:F13"/>
  <sheetViews>
    <sheetView zoomScale="68" zoomScaleNormal="100" workbookViewId="0">
      <selection activeCell="D9" sqref="D9"/>
    </sheetView>
  </sheetViews>
  <sheetFormatPr defaultRowHeight="14.5" x14ac:dyDescent="0.35"/>
  <cols>
    <col min="1" max="6" width="21.54296875" customWidth="1"/>
  </cols>
  <sheetData>
    <row r="1" spans="1:6" ht="2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25" customHeight="1" x14ac:dyDescent="0.35">
      <c r="A2" s="4" t="s">
        <v>6</v>
      </c>
      <c r="B2" s="5" t="s">
        <v>7</v>
      </c>
      <c r="C2" s="5">
        <v>107</v>
      </c>
      <c r="D2" s="5">
        <v>12</v>
      </c>
      <c r="E2" s="5">
        <v>5</v>
      </c>
      <c r="F2" s="6">
        <v>2</v>
      </c>
    </row>
    <row r="3" spans="1:6" ht="25" customHeight="1" x14ac:dyDescent="0.35">
      <c r="A3" s="4" t="s">
        <v>8</v>
      </c>
      <c r="B3" s="5" t="s">
        <v>9</v>
      </c>
      <c r="C3" s="5">
        <v>53</v>
      </c>
      <c r="D3" s="5">
        <v>6</v>
      </c>
      <c r="E3" s="5">
        <v>3</v>
      </c>
      <c r="F3" s="6">
        <v>1</v>
      </c>
    </row>
    <row r="4" spans="1:6" ht="25" customHeight="1" x14ac:dyDescent="0.35">
      <c r="A4" s="4" t="s">
        <v>10</v>
      </c>
      <c r="B4" s="5" t="s">
        <v>11</v>
      </c>
      <c r="C4" s="5">
        <v>40</v>
      </c>
      <c r="D4" s="5">
        <v>4</v>
      </c>
      <c r="E4" s="5">
        <v>2</v>
      </c>
      <c r="F4" s="6">
        <v>1</v>
      </c>
    </row>
    <row r="5" spans="1:6" ht="25" customHeight="1" x14ac:dyDescent="0.35">
      <c r="A5" s="4" t="s">
        <v>12</v>
      </c>
      <c r="B5" s="5" t="s">
        <v>9</v>
      </c>
      <c r="C5" s="5">
        <v>27</v>
      </c>
      <c r="D5" s="5">
        <v>3</v>
      </c>
      <c r="E5" s="5">
        <v>1</v>
      </c>
      <c r="F5" s="6">
        <v>0</v>
      </c>
    </row>
    <row r="6" spans="1:6" ht="25" customHeight="1" x14ac:dyDescent="0.35">
      <c r="A6" s="4" t="s">
        <v>13</v>
      </c>
      <c r="B6" s="5" t="s">
        <v>7</v>
      </c>
      <c r="C6" s="5">
        <v>20</v>
      </c>
      <c r="D6" s="5">
        <v>2</v>
      </c>
      <c r="E6" s="5">
        <v>1</v>
      </c>
      <c r="F6" s="6">
        <v>0</v>
      </c>
    </row>
    <row r="7" spans="1:6" ht="25" customHeight="1" x14ac:dyDescent="0.35">
      <c r="A7" s="4" t="s">
        <v>14</v>
      </c>
      <c r="B7" s="5" t="s">
        <v>7</v>
      </c>
      <c r="C7" s="5">
        <v>20</v>
      </c>
      <c r="D7" s="5">
        <v>3</v>
      </c>
      <c r="E7" s="5">
        <v>1</v>
      </c>
      <c r="F7" s="6">
        <v>0</v>
      </c>
    </row>
    <row r="8" spans="1:6" ht="25" customHeight="1" x14ac:dyDescent="0.35">
      <c r="A8" s="4" t="s">
        <v>15</v>
      </c>
      <c r="B8" s="5" t="s">
        <v>16</v>
      </c>
      <c r="C8" s="5">
        <v>7</v>
      </c>
      <c r="D8" s="5">
        <v>1</v>
      </c>
      <c r="E8" s="5">
        <v>0</v>
      </c>
      <c r="F8" s="6">
        <v>1</v>
      </c>
    </row>
    <row r="9" spans="1:6" ht="25" customHeight="1" x14ac:dyDescent="0.35">
      <c r="A9" s="4" t="s">
        <v>17</v>
      </c>
      <c r="B9" s="5" t="s">
        <v>16</v>
      </c>
      <c r="C9" s="5">
        <v>6</v>
      </c>
      <c r="D9" s="5">
        <v>1</v>
      </c>
      <c r="E9" s="5">
        <v>0</v>
      </c>
      <c r="F9" s="6">
        <v>0</v>
      </c>
    </row>
    <row r="10" spans="1:6" ht="25" customHeight="1" x14ac:dyDescent="0.35">
      <c r="A10" s="4" t="s">
        <v>18</v>
      </c>
      <c r="B10" s="5" t="s">
        <v>16</v>
      </c>
      <c r="C10" s="5">
        <v>6</v>
      </c>
      <c r="D10" s="5">
        <v>0</v>
      </c>
      <c r="E10" s="5">
        <v>0</v>
      </c>
      <c r="F10" s="6">
        <v>0</v>
      </c>
    </row>
    <row r="11" spans="1:6" ht="25" customHeight="1" x14ac:dyDescent="0.35">
      <c r="A11" s="4" t="s">
        <v>19</v>
      </c>
      <c r="B11" s="5" t="s">
        <v>16</v>
      </c>
      <c r="C11" s="5">
        <v>5</v>
      </c>
      <c r="D11" s="5">
        <v>1</v>
      </c>
      <c r="E11" s="5">
        <v>0</v>
      </c>
      <c r="F11" s="6">
        <v>1</v>
      </c>
    </row>
    <row r="12" spans="1:6" ht="25" customHeight="1" x14ac:dyDescent="0.35">
      <c r="A12" s="4" t="s">
        <v>20</v>
      </c>
      <c r="B12" s="5" t="s">
        <v>9</v>
      </c>
      <c r="C12" s="5">
        <v>18</v>
      </c>
      <c r="D12" s="5">
        <v>2</v>
      </c>
      <c r="E12" s="5">
        <v>1</v>
      </c>
      <c r="F12" s="6">
        <v>0</v>
      </c>
    </row>
    <row r="13" spans="1:6" ht="25" customHeight="1" thickBot="1" x14ac:dyDescent="0.4">
      <c r="A13" s="7" t="s">
        <v>21</v>
      </c>
      <c r="B13" s="8" t="s">
        <v>11</v>
      </c>
      <c r="C13" s="8">
        <v>15</v>
      </c>
      <c r="D13" s="8">
        <v>2</v>
      </c>
      <c r="E13" s="8">
        <v>1</v>
      </c>
      <c r="F13" s="9">
        <v>0</v>
      </c>
    </row>
  </sheetData>
  <conditionalFormatting sqref="C2:C13">
    <cfRule type="cellIs" dxfId="20" priority="13" operator="greaterThan">
      <formula>50</formula>
    </cfRule>
    <cfRule type="cellIs" dxfId="19" priority="12" operator="lessThan">
      <formula>10</formula>
    </cfRule>
    <cfRule type="cellIs" dxfId="18" priority="11" operator="lessThan">
      <formula>10</formula>
    </cfRule>
    <cfRule type="cellIs" dxfId="17" priority="10" operator="greaterThan">
      <formula>50</formula>
    </cfRule>
    <cfRule type="top10" dxfId="16" priority="5" rank="3"/>
    <cfRule type="top10" dxfId="15" priority="3" bottom="1" rank="3"/>
  </conditionalFormatting>
  <conditionalFormatting sqref="D2:D1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0" priority="2" operator="equal">
      <formula>5</formula>
    </cfRule>
    <cfRule type="cellIs" dxfId="1" priority="1" operator="greaterThan">
      <formula>5</formula>
    </cfRule>
  </conditionalFormatting>
  <conditionalFormatting sqref="E2:E1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{6F3D1256-9834-4AAD-BD66-0EE07270E1C1}</x14:id>
        </ext>
      </extLst>
    </cfRule>
  </conditionalFormatting>
  <conditionalFormatting sqref="B2:B13">
    <cfRule type="duplicateValues" dxfId="14" priority="7"/>
    <cfRule type="duplicateValues" dxfId="13" priority="6"/>
  </conditionalFormatting>
  <conditionalFormatting sqref="C5">
    <cfRule type="top10" dxfId="12" priority="4" bottom="1" rank="3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F3D1256-9834-4AAD-BD66-0EE07270E1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E2:E13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9EE4F-D6FF-45F8-8094-991E56C57C20}">
  <dimension ref="A1:B15"/>
  <sheetViews>
    <sheetView tabSelected="1" zoomScale="67" workbookViewId="0">
      <selection activeCell="D3" sqref="D3"/>
    </sheetView>
  </sheetViews>
  <sheetFormatPr defaultRowHeight="14.5" x14ac:dyDescent="0.35"/>
  <cols>
    <col min="1" max="2" width="44" customWidth="1"/>
  </cols>
  <sheetData>
    <row r="1" spans="1:2" ht="50.5" customHeight="1" x14ac:dyDescent="0.35">
      <c r="A1" s="1" t="s">
        <v>41</v>
      </c>
      <c r="B1" s="3" t="s">
        <v>42</v>
      </c>
    </row>
    <row r="2" spans="1:2" ht="50.5" customHeight="1" x14ac:dyDescent="0.35">
      <c r="A2" s="19" t="s">
        <v>43</v>
      </c>
      <c r="B2" s="6" t="s">
        <v>44</v>
      </c>
    </row>
    <row r="3" spans="1:2" ht="50.5" customHeight="1" x14ac:dyDescent="0.35">
      <c r="A3" s="19" t="s">
        <v>45</v>
      </c>
      <c r="B3" s="6" t="s">
        <v>46</v>
      </c>
    </row>
    <row r="4" spans="1:2" ht="50.5" customHeight="1" x14ac:dyDescent="0.35">
      <c r="A4" s="19" t="s">
        <v>47</v>
      </c>
      <c r="B4" s="6" t="s">
        <v>48</v>
      </c>
    </row>
    <row r="5" spans="1:2" ht="50.5" customHeight="1" x14ac:dyDescent="0.35">
      <c r="A5" s="19" t="s">
        <v>49</v>
      </c>
      <c r="B5" s="6" t="s">
        <v>50</v>
      </c>
    </row>
    <row r="6" spans="1:2" ht="50.5" customHeight="1" x14ac:dyDescent="0.35">
      <c r="A6" s="19" t="s">
        <v>51</v>
      </c>
      <c r="B6" s="6" t="s">
        <v>52</v>
      </c>
    </row>
    <row r="7" spans="1:2" ht="50.5" customHeight="1" x14ac:dyDescent="0.35">
      <c r="A7" s="19" t="s">
        <v>53</v>
      </c>
      <c r="B7" s="6" t="s">
        <v>54</v>
      </c>
    </row>
    <row r="8" spans="1:2" ht="50.5" customHeight="1" x14ac:dyDescent="0.35">
      <c r="A8" s="19" t="s">
        <v>55</v>
      </c>
      <c r="B8" s="6" t="s">
        <v>6</v>
      </c>
    </row>
    <row r="9" spans="1:2" ht="50.5" customHeight="1" x14ac:dyDescent="0.35">
      <c r="A9" s="19" t="s">
        <v>29</v>
      </c>
      <c r="B9" s="6">
        <v>107</v>
      </c>
    </row>
    <row r="10" spans="1:2" ht="50.5" customHeight="1" x14ac:dyDescent="0.35">
      <c r="A10" s="19" t="s">
        <v>31</v>
      </c>
      <c r="B10" s="6">
        <v>27</v>
      </c>
    </row>
    <row r="11" spans="1:2" ht="50.5" customHeight="1" x14ac:dyDescent="0.35">
      <c r="A11" s="19" t="s">
        <v>25</v>
      </c>
      <c r="B11" s="6">
        <v>324</v>
      </c>
    </row>
    <row r="12" spans="1:2" ht="50.5" customHeight="1" x14ac:dyDescent="0.35">
      <c r="A12" s="19" t="s">
        <v>26</v>
      </c>
      <c r="B12" s="6">
        <v>37</v>
      </c>
    </row>
    <row r="13" spans="1:2" ht="50.5" customHeight="1" x14ac:dyDescent="0.35">
      <c r="A13" s="19" t="s">
        <v>27</v>
      </c>
      <c r="B13" s="6">
        <v>15</v>
      </c>
    </row>
    <row r="14" spans="1:2" ht="50.5" customHeight="1" x14ac:dyDescent="0.35">
      <c r="A14" s="19" t="s">
        <v>28</v>
      </c>
      <c r="B14" s="6">
        <v>6</v>
      </c>
    </row>
    <row r="15" spans="1:2" ht="50.5" customHeight="1" thickBot="1" x14ac:dyDescent="0.4">
      <c r="A15" s="20" t="s">
        <v>56</v>
      </c>
      <c r="B15" s="9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56BEC-45AF-4F7F-B9AE-5706ECA20E84}">
  <dimension ref="A1:C9"/>
  <sheetViews>
    <sheetView workbookViewId="0">
      <selection activeCell="G6" sqref="G6"/>
    </sheetView>
  </sheetViews>
  <sheetFormatPr defaultRowHeight="14.5" x14ac:dyDescent="0.35"/>
  <cols>
    <col min="1" max="1" width="18.7265625" bestFit="1" customWidth="1"/>
    <col min="2" max="2" width="17.26953125" bestFit="1" customWidth="1"/>
    <col min="3" max="3" width="30.1796875" bestFit="1" customWidth="1"/>
  </cols>
  <sheetData>
    <row r="1" spans="1:3" ht="25" customHeight="1" x14ac:dyDescent="0.35">
      <c r="A1" s="11" t="s">
        <v>22</v>
      </c>
      <c r="B1" s="12" t="s">
        <v>23</v>
      </c>
      <c r="C1" s="13" t="s">
        <v>24</v>
      </c>
    </row>
    <row r="2" spans="1:3" ht="25" customHeight="1" x14ac:dyDescent="0.35">
      <c r="A2" s="14" t="s">
        <v>25</v>
      </c>
      <c r="B2" s="10">
        <f>SUM(pinterest_data!C:C)</f>
        <v>324</v>
      </c>
      <c r="C2" s="6" t="s">
        <v>32</v>
      </c>
    </row>
    <row r="3" spans="1:3" ht="25" customHeight="1" x14ac:dyDescent="0.35">
      <c r="A3" s="14" t="s">
        <v>26</v>
      </c>
      <c r="B3" s="10">
        <f>SUM(pinterest_data!D:D)</f>
        <v>37</v>
      </c>
      <c r="C3" s="6" t="s">
        <v>33</v>
      </c>
    </row>
    <row r="4" spans="1:3" ht="25" customHeight="1" x14ac:dyDescent="0.35">
      <c r="A4" s="14" t="s">
        <v>27</v>
      </c>
      <c r="B4" s="10">
        <f>SUM(pinterest_data!E:E)</f>
        <v>15</v>
      </c>
      <c r="C4" s="15" t="s">
        <v>34</v>
      </c>
    </row>
    <row r="5" spans="1:3" ht="25" customHeight="1" x14ac:dyDescent="0.35">
      <c r="A5" s="14" t="s">
        <v>28</v>
      </c>
      <c r="B5" s="10">
        <f>SUM(pinterest_data!F:F)</f>
        <v>6</v>
      </c>
      <c r="C5" s="15" t="s">
        <v>35</v>
      </c>
    </row>
    <row r="6" spans="1:3" ht="25" customHeight="1" x14ac:dyDescent="0.35">
      <c r="A6" s="14" t="s">
        <v>29</v>
      </c>
      <c r="B6" s="10">
        <f>MAX(pinterest_data!C:C)</f>
        <v>107</v>
      </c>
      <c r="C6" s="15" t="s">
        <v>36</v>
      </c>
    </row>
    <row r="7" spans="1:3" ht="25" customHeight="1" x14ac:dyDescent="0.35">
      <c r="A7" s="14" t="s">
        <v>30</v>
      </c>
      <c r="B7" s="10">
        <f>MIN(pinterest_data!C:C)</f>
        <v>5</v>
      </c>
      <c r="C7" s="15" t="s">
        <v>37</v>
      </c>
    </row>
    <row r="8" spans="1:3" ht="25" customHeight="1" x14ac:dyDescent="0.35">
      <c r="A8" s="14" t="s">
        <v>31</v>
      </c>
      <c r="B8" s="10">
        <f>AVERAGE(pinterest_data!C:C)</f>
        <v>27</v>
      </c>
      <c r="C8" s="15" t="s">
        <v>38</v>
      </c>
    </row>
    <row r="9" spans="1:3" ht="25" customHeight="1" thickBot="1" x14ac:dyDescent="0.4">
      <c r="A9" s="16" t="s">
        <v>40</v>
      </c>
      <c r="B9" s="17" t="str">
        <f>INDEX(pinterest_data!A2:A13,MATCH(MAX(pinterest_data!C2:C13),pinterest_data!C2:C13,0))</f>
        <v>Leak-Proof Tiffin Box</v>
      </c>
      <c r="C9" s="18" t="s">
        <v>39</v>
      </c>
    </row>
  </sheetData>
  <conditionalFormatting sqref="B2:B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pinterest_data</vt:lpstr>
      <vt:lpstr>README</vt:lpstr>
      <vt:lpstr>KPI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Musale</dc:creator>
  <cp:lastModifiedBy>Rekha Musale</cp:lastModifiedBy>
  <dcterms:created xsi:type="dcterms:W3CDTF">2026-09-11T13:03:09Z</dcterms:created>
  <dcterms:modified xsi:type="dcterms:W3CDTF">2026-09-11T13:51:31Z</dcterms:modified>
</cp:coreProperties>
</file>