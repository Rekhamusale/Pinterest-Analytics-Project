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23_HLookUp\"/>
    </mc:Choice>
  </mc:AlternateContent>
  <xr:revisionPtr revIDLastSave="0" documentId="13_ncr:1_{0961FA10-A729-4166-B101-060509055A68}" xr6:coauthVersionLast="47" xr6:coauthVersionMax="47" xr10:uidLastSave="{00000000-0000-0000-0000-000000000000}"/>
  <bookViews>
    <workbookView xWindow="-110" yWindow="-110" windowWidth="19420" windowHeight="10300" xr2:uid="{7FA9845F-C9A9-4BC5-9F14-DF9BD28548FF}"/>
  </bookViews>
  <sheets>
    <sheet name="Horizontal_Data" sheetId="1" r:id="rId1"/>
    <sheet name="Lookup_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B16" i="2"/>
  <c r="B15" i="2"/>
  <c r="B6" i="2"/>
  <c r="B9" i="2"/>
  <c r="B8" i="2"/>
  <c r="B7" i="2"/>
</calcChain>
</file>

<file path=xl/sharedStrings.xml><?xml version="1.0" encoding="utf-8"?>
<sst xmlns="http://schemas.openxmlformats.org/spreadsheetml/2006/main" count="38" uniqueCount="22">
  <si>
    <t>Pin Name</t>
  </si>
  <si>
    <t>Category</t>
  </si>
  <si>
    <t>Impressions</t>
  </si>
  <si>
    <t>Engagement</t>
  </si>
  <si>
    <t>Wooden Knife Holder</t>
  </si>
  <si>
    <t>Kitchen</t>
  </si>
  <si>
    <t>Leak-Proof Tiffin Box</t>
  </si>
  <si>
    <t>Home Decor Ideas</t>
  </si>
  <si>
    <t>Home</t>
  </si>
  <si>
    <t>Womens Fashion</t>
  </si>
  <si>
    <t>Fashion</t>
  </si>
  <si>
    <t>Beauty Self-Care</t>
  </si>
  <si>
    <t>Beauty</t>
  </si>
  <si>
    <t>Kitchen Storage</t>
  </si>
  <si>
    <t>Handbag Fashion</t>
  </si>
  <si>
    <t>Home Essentials</t>
  </si>
  <si>
    <t>Skincare Products</t>
  </si>
  <si>
    <t>Desk Setup</t>
  </si>
  <si>
    <t>Pinterest Pin Lookup</t>
  </si>
  <si>
    <t>Enter Pin Name</t>
  </si>
  <si>
    <t>IfError_Practice</t>
  </si>
  <si>
    <t>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</si>
</sst>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0" fillId="6" borderId="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82D4-B7FF-4D2E-BFBC-83003CA4A74E}">
  <dimension ref="A1:K4"/>
  <sheetViews>
    <sheetView tabSelected="1" zoomScale="59" workbookViewId="0">
      <selection activeCell="J21" sqref="J21"/>
    </sheetView>
  </sheetViews>
  <sheetFormatPr defaultRowHeight="14.5" x14ac:dyDescent="0.35"/>
  <cols>
    <col min="1" max="11" width="20.26953125" customWidth="1"/>
  </cols>
  <sheetData>
    <row r="1" spans="1:11" ht="24.5" customHeight="1" x14ac:dyDescent="0.35">
      <c r="A1" s="7" t="s">
        <v>0</v>
      </c>
      <c r="B1" s="8" t="s">
        <v>4</v>
      </c>
      <c r="C1" s="8" t="s">
        <v>6</v>
      </c>
      <c r="D1" s="8" t="s">
        <v>7</v>
      </c>
      <c r="E1" s="8" t="s">
        <v>9</v>
      </c>
      <c r="F1" s="8" t="s">
        <v>11</v>
      </c>
      <c r="G1" s="8" t="s">
        <v>13</v>
      </c>
      <c r="H1" s="8" t="s">
        <v>14</v>
      </c>
      <c r="I1" s="8" t="s">
        <v>15</v>
      </c>
      <c r="J1" s="8" t="s">
        <v>16</v>
      </c>
      <c r="K1" s="9" t="s">
        <v>17</v>
      </c>
    </row>
    <row r="2" spans="1:11" ht="24.5" customHeight="1" x14ac:dyDescent="0.35">
      <c r="A2" s="1" t="s">
        <v>1</v>
      </c>
      <c r="B2" s="2" t="s">
        <v>5</v>
      </c>
      <c r="C2" s="2" t="s">
        <v>5</v>
      </c>
      <c r="D2" s="2" t="s">
        <v>8</v>
      </c>
      <c r="E2" s="2" t="s">
        <v>10</v>
      </c>
      <c r="F2" s="2" t="s">
        <v>12</v>
      </c>
      <c r="G2" s="2" t="s">
        <v>5</v>
      </c>
      <c r="H2" s="2" t="s">
        <v>10</v>
      </c>
      <c r="I2" s="2" t="s">
        <v>8</v>
      </c>
      <c r="J2" s="2" t="s">
        <v>12</v>
      </c>
      <c r="K2" s="3" t="s">
        <v>8</v>
      </c>
    </row>
    <row r="3" spans="1:11" ht="24.5" customHeight="1" x14ac:dyDescent="0.35">
      <c r="A3" s="1" t="s">
        <v>2</v>
      </c>
      <c r="B3" s="2">
        <v>214</v>
      </c>
      <c r="C3" s="2">
        <v>93</v>
      </c>
      <c r="D3" s="2">
        <v>41</v>
      </c>
      <c r="E3" s="2">
        <v>38</v>
      </c>
      <c r="F3" s="2">
        <v>57</v>
      </c>
      <c r="G3" s="2">
        <v>76</v>
      </c>
      <c r="H3" s="2">
        <v>45</v>
      </c>
      <c r="I3" s="2">
        <v>31</v>
      </c>
      <c r="J3" s="2">
        <v>29</v>
      </c>
      <c r="K3" s="3">
        <v>23</v>
      </c>
    </row>
    <row r="4" spans="1:11" ht="24.5" customHeight="1" thickBot="1" x14ac:dyDescent="0.4">
      <c r="A4" s="4" t="s">
        <v>3</v>
      </c>
      <c r="B4" s="5">
        <v>4</v>
      </c>
      <c r="C4" s="5">
        <v>0</v>
      </c>
      <c r="D4" s="5">
        <v>0</v>
      </c>
      <c r="E4" s="5">
        <v>1</v>
      </c>
      <c r="F4" s="5">
        <v>2</v>
      </c>
      <c r="G4" s="5">
        <v>3</v>
      </c>
      <c r="H4" s="5">
        <v>2</v>
      </c>
      <c r="I4" s="5">
        <v>1</v>
      </c>
      <c r="J4" s="5">
        <v>2</v>
      </c>
      <c r="K4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F6E1-BBBD-4A15-9C88-A90672B2C52F}">
  <dimension ref="A1:C18"/>
  <sheetViews>
    <sheetView zoomScale="55" workbookViewId="0">
      <selection activeCell="J30" sqref="J30"/>
    </sheetView>
  </sheetViews>
  <sheetFormatPr defaultRowHeight="14.5" x14ac:dyDescent="0.35"/>
  <cols>
    <col min="1" max="1" width="19.36328125" customWidth="1"/>
    <col min="2" max="2" width="22.81640625" customWidth="1"/>
    <col min="3" max="3" width="19.36328125" customWidth="1"/>
  </cols>
  <sheetData>
    <row r="1" spans="1:3" ht="21" x14ac:dyDescent="0.35">
      <c r="A1" s="18" t="s">
        <v>18</v>
      </c>
      <c r="B1" s="18"/>
      <c r="C1" s="18"/>
    </row>
    <row r="3" spans="1:3" ht="18.5" x14ac:dyDescent="0.45">
      <c r="A3" s="10" t="s">
        <v>19</v>
      </c>
      <c r="B3" s="10" t="s">
        <v>4</v>
      </c>
    </row>
    <row r="5" spans="1:3" ht="15" thickBot="1" x14ac:dyDescent="0.4"/>
    <row r="6" spans="1:3" x14ac:dyDescent="0.35">
      <c r="A6" s="11" t="s">
        <v>0</v>
      </c>
      <c r="B6" s="12" t="str">
        <f>HLOOKUP(Lookup_Practice!B3,Horizontal_Data!A1:K4,1,FALSE)</f>
        <v>Wooden Knife Holder</v>
      </c>
    </row>
    <row r="7" spans="1:3" x14ac:dyDescent="0.35">
      <c r="A7" s="13" t="s">
        <v>1</v>
      </c>
      <c r="B7" s="14" t="str">
        <f>HLOOKUP(B3,Horizontal_Data!A1:K4,2,FALSE)</f>
        <v>Kitchen</v>
      </c>
    </row>
    <row r="8" spans="1:3" x14ac:dyDescent="0.35">
      <c r="A8" s="13" t="s">
        <v>2</v>
      </c>
      <c r="B8" s="14">
        <f>HLOOKUP(B3,Horizontal_Data!A1:K4,3,FALSE)</f>
        <v>214</v>
      </c>
    </row>
    <row r="9" spans="1:3" ht="15" thickBot="1" x14ac:dyDescent="0.4">
      <c r="A9" s="15" t="s">
        <v>3</v>
      </c>
      <c r="B9" s="16">
        <f>HLOOKUP(B3,Horizontal_Data!A1:K4,4,FALSE)</f>
        <v>4</v>
      </c>
    </row>
    <row r="10" spans="1:3" ht="15" thickBot="1" x14ac:dyDescent="0.4"/>
    <row r="11" spans="1:3" ht="19" thickBot="1" x14ac:dyDescent="0.5">
      <c r="A11" s="19" t="s">
        <v>20</v>
      </c>
      <c r="B11" s="20"/>
    </row>
    <row r="13" spans="1:3" ht="18.5" x14ac:dyDescent="0.45">
      <c r="A13" s="17" t="s">
        <v>19</v>
      </c>
      <c r="B13" s="17" t="s">
        <v>21</v>
      </c>
    </row>
    <row r="14" spans="1:3" ht="15" thickBot="1" x14ac:dyDescent="0.4"/>
    <row r="15" spans="1:3" x14ac:dyDescent="0.35">
      <c r="A15" s="11" t="s">
        <v>0</v>
      </c>
      <c r="B15" s="12" t="str">
        <f>IFERROR(HLOOKUP(B3,Horizontal_Data!A1:K4,1,FALSE),"Not Found")</f>
        <v>Wooden Knife Holder</v>
      </c>
    </row>
    <row r="16" spans="1:3" x14ac:dyDescent="0.35">
      <c r="A16" s="13" t="s">
        <v>1</v>
      </c>
      <c r="B16" s="14" t="str">
        <f>IFERROR(HLOOKUP(B13,Horizontal_Data!A1:K4,1,FALSE),"Not Found")</f>
        <v>Not Found</v>
      </c>
    </row>
    <row r="17" spans="1:2" x14ac:dyDescent="0.35">
      <c r="A17" s="13" t="s">
        <v>2</v>
      </c>
      <c r="B17" s="14" t="str">
        <f>IFERROR(HLOOKUP(B13,Horizontal_Data!A1:K4,2,FALSE),"Not found")</f>
        <v>Not found</v>
      </c>
    </row>
    <row r="18" spans="1:2" ht="15" thickBot="1" x14ac:dyDescent="0.4">
      <c r="A18" s="15" t="s">
        <v>3</v>
      </c>
      <c r="B18" s="16" t="str">
        <f>IFERROR(HLOOKUP(B13,Horizontal_Data!A1:K4,4,FALSE),"Not Found")</f>
        <v>Not Found</v>
      </c>
    </row>
  </sheetData>
  <mergeCells count="2">
    <mergeCell ref="A1:C1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Horizontal_Data</vt:lpstr>
      <vt:lpstr>Lookup_Practice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2026-10-10T10:39:44Z</dcterms:created>
  <dcterms:modified xsi:type="dcterms:W3CDTF">2026-10-13T10:51:09Z</dcterms:modified>
</cp:coreProperties>
</file>