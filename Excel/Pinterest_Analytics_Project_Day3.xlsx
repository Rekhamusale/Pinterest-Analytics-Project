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ocuments/"/>
    </mc:Choice>
  </mc:AlternateContent>
  <xr:revisionPtr revIDLastSave="510" documentId="8_{4E26A75A-E90E-45A9-9012-17B855BCC5DB}" xr6:coauthVersionLast="47" xr6:coauthVersionMax="47" xr10:uidLastSave="{8901C23E-9C4E-4E65-AB46-F3E4CD8BAB6E}"/>
  <bookViews>
    <workbookView xWindow="-110" yWindow="-110" windowWidth="19420" windowHeight="10300" firstSheet="3" activeTab="6" xr2:uid="{7D575101-77E7-4AAE-AA6F-46947E88E8C0}"/>
  </bookViews>
  <sheets>
    <sheet name="README" sheetId="1" r:id="rId1"/>
    <sheet name="Raw_Data" sheetId="2" r:id="rId2"/>
    <sheet name="Performance overview" sheetId="7" r:id="rId3"/>
    <sheet name="Daily_Summary" sheetId="3" r:id="rId4"/>
    <sheet name="category_Analysis" sheetId="4" r:id="rId5"/>
    <sheet name="Hook_Analysis" sheetId="5" r:id="rId6"/>
    <sheet name="Dashboar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3" i="6"/>
  <c r="B2" i="6"/>
  <c r="B16" i="5"/>
  <c r="B14" i="5"/>
  <c r="B3" i="4"/>
  <c r="B4" i="4"/>
  <c r="B5" i="4"/>
  <c r="B6" i="4"/>
  <c r="B7" i="4"/>
  <c r="B8" i="4"/>
  <c r="B9" i="4"/>
  <c r="B10" i="4"/>
  <c r="B2" i="4"/>
  <c r="B6" i="7"/>
  <c r="B5" i="7"/>
  <c r="B4" i="7"/>
  <c r="B3" i="7"/>
  <c r="B2" i="7"/>
</calcChain>
</file>

<file path=xl/sharedStrings.xml><?xml version="1.0" encoding="utf-8"?>
<sst xmlns="http://schemas.openxmlformats.org/spreadsheetml/2006/main" count="159" uniqueCount="89">
  <si>
    <t>A</t>
  </si>
  <si>
    <t>B</t>
  </si>
  <si>
    <t>Project Name</t>
  </si>
  <si>
    <t>Pinterest Analytics Project</t>
  </si>
  <si>
    <t>Created By</t>
  </si>
  <si>
    <t>M.Sai Rekha</t>
  </si>
  <si>
    <t>Goal</t>
  </si>
  <si>
    <t>Become Job Ready Data Analyst</t>
  </si>
  <si>
    <t>Business</t>
  </si>
  <si>
    <t>Smart Home Finds Hub</t>
  </si>
  <si>
    <t>Data Source</t>
  </si>
  <si>
    <t>Start Date</t>
  </si>
  <si>
    <t>Current Module</t>
  </si>
  <si>
    <t>Basic Excel</t>
  </si>
  <si>
    <t>status</t>
  </si>
  <si>
    <t>Day 3</t>
  </si>
  <si>
    <t>Category</t>
  </si>
  <si>
    <t>Pin</t>
  </si>
  <si>
    <t>Type</t>
  </si>
  <si>
    <t>Source</t>
  </si>
  <si>
    <t>Total Impressions</t>
  </si>
  <si>
    <t>S.No</t>
  </si>
  <si>
    <t>Top Pins</t>
  </si>
  <si>
    <t>School bag</t>
  </si>
  <si>
    <t>Bathroom shelf</t>
  </si>
  <si>
    <t>Shoulder Bag</t>
  </si>
  <si>
    <t>Dish rack</t>
  </si>
  <si>
    <t>Spice jar</t>
  </si>
  <si>
    <t>Lunch bag</t>
  </si>
  <si>
    <t>storage container</t>
  </si>
  <si>
    <t>Storage Baskets</t>
  </si>
  <si>
    <t>Drawer Organizer</t>
  </si>
  <si>
    <t>Milton Water bottle</t>
  </si>
  <si>
    <t>Oil dispenser</t>
  </si>
  <si>
    <t>steel lunch box</t>
  </si>
  <si>
    <t>Foldable drawer organizer</t>
  </si>
  <si>
    <t>Stationary set</t>
  </si>
  <si>
    <t>Laptop bag</t>
  </si>
  <si>
    <t>Magnetic Fridge organizerr</t>
  </si>
  <si>
    <t>Airtight container</t>
  </si>
  <si>
    <t>rustproof Kitchen rack</t>
  </si>
  <si>
    <t>Cutlery holder</t>
  </si>
  <si>
    <t>Organic</t>
  </si>
  <si>
    <t>Your pins</t>
  </si>
  <si>
    <t>KPI</t>
  </si>
  <si>
    <t>Value</t>
  </si>
  <si>
    <t>Total pins</t>
  </si>
  <si>
    <t>Total impressions</t>
  </si>
  <si>
    <t>Average impressions</t>
  </si>
  <si>
    <t>Highest impressions</t>
  </si>
  <si>
    <t>Lowset impressions</t>
  </si>
  <si>
    <t>Catogery</t>
  </si>
  <si>
    <t>Home Organization</t>
  </si>
  <si>
    <t>Bag</t>
  </si>
  <si>
    <t>Kitchen organization</t>
  </si>
  <si>
    <t>Lunch Bag</t>
  </si>
  <si>
    <t>Water bottle</t>
  </si>
  <si>
    <t>lunch box</t>
  </si>
  <si>
    <t>kids</t>
  </si>
  <si>
    <t>kitchen organization</t>
  </si>
  <si>
    <t>Hook type</t>
  </si>
  <si>
    <t>impressions</t>
  </si>
  <si>
    <t>benefits</t>
  </si>
  <si>
    <t>problem solving</t>
  </si>
  <si>
    <t>emotional</t>
  </si>
  <si>
    <t>price</t>
  </si>
  <si>
    <t>curiosity</t>
  </si>
  <si>
    <t>total hook impressions</t>
  </si>
  <si>
    <t>best hook</t>
  </si>
  <si>
    <t>hook performance analysis</t>
  </si>
  <si>
    <t>Formulas</t>
  </si>
  <si>
    <t>total pins</t>
  </si>
  <si>
    <t>total impressions</t>
  </si>
  <si>
    <t>best category</t>
  </si>
  <si>
    <t>average impressions</t>
  </si>
  <si>
    <t>Category_analysis</t>
  </si>
  <si>
    <t>Hook Analysis chart</t>
  </si>
  <si>
    <t>Key Insight</t>
  </si>
  <si>
    <t>Home Organization is the top category</t>
  </si>
  <si>
    <t>Benefit hook perform best</t>
  </si>
  <si>
    <t>Most pins receive only 1 impression</t>
  </si>
  <si>
    <t>Create more home organization pins</t>
  </si>
  <si>
    <t>Test more benefit-style titles</t>
  </si>
  <si>
    <t>Metric</t>
  </si>
  <si>
    <t>Bestt category</t>
  </si>
  <si>
    <t>Best hook</t>
  </si>
  <si>
    <t>Top pin</t>
  </si>
  <si>
    <t>Highest Impressions</t>
  </si>
  <si>
    <t>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</si>
</sst>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7" fillId="13" borderId="0" xfId="0" applyFont="1" applyFill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5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category_Analysis!$A$2:$A$10</c:f>
              <c:strCache>
                <c:ptCount val="9"/>
                <c:pt idx="0">
                  <c:v>School bag</c:v>
                </c:pt>
                <c:pt idx="1">
                  <c:v>Home Organization</c:v>
                </c:pt>
                <c:pt idx="2">
                  <c:v>Bag</c:v>
                </c:pt>
                <c:pt idx="3">
                  <c:v>Kitchen organization</c:v>
                </c:pt>
                <c:pt idx="4">
                  <c:v>Lunch Bag</c:v>
                </c:pt>
                <c:pt idx="5">
                  <c:v>Water bottle</c:v>
                </c:pt>
                <c:pt idx="6">
                  <c:v>kids</c:v>
                </c:pt>
                <c:pt idx="7">
                  <c:v>lunch box</c:v>
                </c:pt>
                <c:pt idx="8">
                  <c:v>Laptop bag</c:v>
                </c:pt>
              </c:strCache>
            </c:strRef>
          </c:cat>
          <c:val>
            <c:numRef>
              <c:f>category_Analysis!$B$2:$B$10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0-496D-A923-070F78A3F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494224"/>
        <c:axId val="1447982384"/>
      </c:barChart>
      <c:catAx>
        <c:axId val="17504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82384"/>
        <c:crosses val="autoZero"/>
        <c:auto val="1"/>
        <c:lblAlgn val="ctr"/>
        <c:lblOffset val="100"/>
        <c:noMultiLvlLbl val="0"/>
      </c:catAx>
      <c:valAx>
        <c:axId val="14479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Hook_Analysis!$A$2:$A$6</c:f>
              <c:strCache>
                <c:ptCount val="5"/>
                <c:pt idx="0">
                  <c:v>benefits</c:v>
                </c:pt>
                <c:pt idx="1">
                  <c:v>problem solving</c:v>
                </c:pt>
                <c:pt idx="2">
                  <c:v>emotional</c:v>
                </c:pt>
                <c:pt idx="3">
                  <c:v>price</c:v>
                </c:pt>
                <c:pt idx="4">
                  <c:v>curiosity</c:v>
                </c:pt>
              </c:strCache>
            </c:strRef>
          </c:cat>
          <c:val>
            <c:numRef>
              <c:f>Hook_Analysis!$B$2:$B$6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9-4BCB-91AE-D2C24BF62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153152"/>
        <c:axId val="1448008304"/>
      </c:barChart>
      <c:catAx>
        <c:axId val="17331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08304"/>
        <c:crosses val="autoZero"/>
        <c:auto val="1"/>
        <c:lblAlgn val="ctr"/>
        <c:lblOffset val="100"/>
        <c:noMultiLvlLbl val="0"/>
      </c:catAx>
      <c:valAx>
        <c:axId val="14480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5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category_Analysis!$A$2:$A$10</c:f>
              <c:strCache>
                <c:ptCount val="9"/>
                <c:pt idx="0">
                  <c:v>School bag</c:v>
                </c:pt>
                <c:pt idx="1">
                  <c:v>Home Organization</c:v>
                </c:pt>
                <c:pt idx="2">
                  <c:v>Bag</c:v>
                </c:pt>
                <c:pt idx="3">
                  <c:v>Kitchen organization</c:v>
                </c:pt>
                <c:pt idx="4">
                  <c:v>Lunch Bag</c:v>
                </c:pt>
                <c:pt idx="5">
                  <c:v>Water bottle</c:v>
                </c:pt>
                <c:pt idx="6">
                  <c:v>kids</c:v>
                </c:pt>
                <c:pt idx="7">
                  <c:v>lunch box</c:v>
                </c:pt>
                <c:pt idx="8">
                  <c:v>Laptop bag</c:v>
                </c:pt>
              </c:strCache>
            </c:strRef>
          </c:cat>
          <c:val>
            <c:numRef>
              <c:f>category_Analysis!$B$2:$B$10</c:f>
              <c:numCache>
                <c:formatCode>General</c:formatCode>
                <c:ptCount val="9"/>
                <c:pt idx="0">
                  <c:v>3</c:v>
                </c:pt>
                <c:pt idx="1">
                  <c:v>9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B-4C36-AAB1-7D970ED3D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494224"/>
        <c:axId val="1447982384"/>
      </c:barChart>
      <c:catAx>
        <c:axId val="17504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982384"/>
        <c:crosses val="autoZero"/>
        <c:auto val="1"/>
        <c:lblAlgn val="ctr"/>
        <c:lblOffset val="100"/>
        <c:noMultiLvlLbl val="0"/>
      </c:catAx>
      <c:valAx>
        <c:axId val="14479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4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Hook_Analysis!$A$2:$A$6</c:f>
              <c:strCache>
                <c:ptCount val="5"/>
                <c:pt idx="0">
                  <c:v>benefits</c:v>
                </c:pt>
                <c:pt idx="1">
                  <c:v>problem solving</c:v>
                </c:pt>
                <c:pt idx="2">
                  <c:v>emotional</c:v>
                </c:pt>
                <c:pt idx="3">
                  <c:v>price</c:v>
                </c:pt>
                <c:pt idx="4">
                  <c:v>curiosity</c:v>
                </c:pt>
              </c:strCache>
            </c:strRef>
          </c:cat>
          <c:val>
            <c:numRef>
              <c:f>Hook_Analysis!$B$2:$B$6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B-478A-A3F7-B5C20938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153152"/>
        <c:axId val="1448008304"/>
      </c:barChart>
      <c:catAx>
        <c:axId val="17331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008304"/>
        <c:crosses val="autoZero"/>
        <c:auto val="1"/>
        <c:lblAlgn val="ctr"/>
        <c:lblOffset val="100"/>
        <c:noMultiLvlLbl val="0"/>
      </c:catAx>
      <c:valAx>
        <c:axId val="14480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5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153567</xdr:colOff>
      <xdr:row>1</xdr:row>
      <xdr:rowOff>157584</xdr:rowOff>
    </xdr:from>
    <xdr:to>
      <xdr:col>10</xdr:col>
      <xdr:colOff>461995</xdr:colOff>
      <xdr:row>16</xdr:row>
      <xdr:rowOff>172876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ABDDF-2929-F535-E850-E32782BFE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1470025</xdr:colOff>
      <xdr:row>4</xdr:row>
      <xdr:rowOff>25400</xdr:rowOff>
    </xdr:from>
    <xdr:to>
      <xdr:col>9</xdr:col>
      <xdr:colOff>555625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7B236-5AB4-0A51-2DA8-181BC47F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146050</xdr:rowOff>
    </xdr:from>
    <xdr:to>
      <xdr:col>12</xdr:col>
      <xdr:colOff>317500</xdr:colOff>
      <xdr:row>18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D72709-C7B5-4B26-A7EE-DDA68DCAE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184150</xdr:colOff>
      <xdr:row>24</xdr:row>
      <xdr:rowOff>44450</xdr:rowOff>
    </xdr:from>
    <xdr:to>
      <xdr:col>12</xdr:col>
      <xdr:colOff>482687</xdr:colOff>
      <xdr:row>39</xdr:row>
      <xdr:rowOff>7220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7B440E-7CB4-4B13-9DD1-D51BBE64E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9339-4E10-4819-B2B2-543B5998FEF0}">
  <dimension ref="A1:B9"/>
  <sheetViews>
    <sheetView workbookViewId="0">
      <selection activeCell="G9" sqref="G9"/>
    </sheetView>
  </sheetViews>
  <sheetFormatPr defaultRowHeight="14.5" x14ac:dyDescent="0.35"/>
  <cols>
    <col min="1" max="2" width="34.90625" customWidth="1"/>
  </cols>
  <sheetData>
    <row r="1" spans="1:2" ht="18.5" x14ac:dyDescent="0.35">
      <c r="A1" s="1" t="s">
        <v>0</v>
      </c>
      <c r="B1" s="2" t="s">
        <v>1</v>
      </c>
    </row>
    <row r="2" spans="1:2" ht="18.5" x14ac:dyDescent="0.35">
      <c r="A2" s="3" t="s">
        <v>2</v>
      </c>
      <c r="B2" s="4" t="s">
        <v>3</v>
      </c>
    </row>
    <row r="3" spans="1:2" ht="18.5" x14ac:dyDescent="0.35">
      <c r="A3" s="3" t="s">
        <v>4</v>
      </c>
      <c r="B3" s="4" t="s">
        <v>5</v>
      </c>
    </row>
    <row r="4" spans="1:2" ht="18.5" x14ac:dyDescent="0.35">
      <c r="A4" s="3" t="s">
        <v>6</v>
      </c>
      <c r="B4" s="4" t="s">
        <v>7</v>
      </c>
    </row>
    <row r="5" spans="1:2" ht="18.5" x14ac:dyDescent="0.35">
      <c r="A5" s="3" t="s">
        <v>8</v>
      </c>
      <c r="B5" s="4" t="s">
        <v>9</v>
      </c>
    </row>
    <row r="6" spans="1:2" ht="18.5" x14ac:dyDescent="0.35">
      <c r="A6" s="3" t="s">
        <v>10</v>
      </c>
      <c r="B6" s="4" t="s">
        <v>3</v>
      </c>
    </row>
    <row r="7" spans="1:2" ht="18.5" x14ac:dyDescent="0.35">
      <c r="A7" s="3" t="s">
        <v>11</v>
      </c>
      <c r="B7" s="5">
        <v>46213</v>
      </c>
    </row>
    <row r="8" spans="1:2" ht="18.5" x14ac:dyDescent="0.35">
      <c r="A8" s="3" t="s">
        <v>12</v>
      </c>
      <c r="B8" s="4" t="s">
        <v>13</v>
      </c>
    </row>
    <row r="9" spans="1:2" ht="19" thickBot="1" x14ac:dyDescent="0.4">
      <c r="A9" s="6" t="s">
        <v>14</v>
      </c>
      <c r="B9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1031-D0DD-4C34-B7C4-D60CD9947AD2}">
  <dimension ref="A1:F25"/>
  <sheetViews>
    <sheetView topLeftCell="A7" zoomScale="88" workbookViewId="0">
      <selection activeCell="C3" sqref="C3"/>
    </sheetView>
  </sheetViews>
  <sheetFormatPr defaultRowHeight="14.5" x14ac:dyDescent="0.35"/>
  <cols>
    <col min="1" max="6" width="29.08984375" style="8" customWidth="1"/>
    <col min="7" max="7" width="15.90625" bestFit="1" customWidth="1"/>
    <col min="8" max="8" width="9.26953125" bestFit="1" customWidth="1"/>
    <col min="9" max="9" width="12.08984375" bestFit="1" customWidth="1"/>
    <col min="10" max="10" width="7.26953125" bestFit="1" customWidth="1"/>
    <col min="11" max="11" width="13.453125" bestFit="1" customWidth="1"/>
  </cols>
  <sheetData>
    <row r="1" spans="1:6" ht="25.5" customHeight="1" thickBot="1" x14ac:dyDescent="0.4">
      <c r="A1" s="24" t="s">
        <v>22</v>
      </c>
      <c r="B1" s="25"/>
      <c r="C1" s="25"/>
      <c r="D1" s="25"/>
      <c r="E1" s="25"/>
      <c r="F1" s="26"/>
    </row>
    <row r="2" spans="1:6" ht="25.5" customHeight="1" x14ac:dyDescent="0.35">
      <c r="A2" s="13" t="s">
        <v>21</v>
      </c>
      <c r="B2" s="14" t="s">
        <v>17</v>
      </c>
      <c r="C2" s="14" t="s">
        <v>51</v>
      </c>
      <c r="D2" s="14" t="s">
        <v>18</v>
      </c>
      <c r="E2" s="14" t="s">
        <v>19</v>
      </c>
      <c r="F2" s="15" t="s">
        <v>20</v>
      </c>
    </row>
    <row r="3" spans="1:6" ht="29.5" customHeight="1" x14ac:dyDescent="0.35">
      <c r="A3" s="16">
        <v>1</v>
      </c>
      <c r="B3" s="9" t="s">
        <v>23</v>
      </c>
      <c r="C3" s="9" t="s">
        <v>23</v>
      </c>
      <c r="D3" s="9" t="s">
        <v>42</v>
      </c>
      <c r="E3" s="9" t="s">
        <v>43</v>
      </c>
      <c r="F3" s="10">
        <v>3</v>
      </c>
    </row>
    <row r="4" spans="1:6" ht="29.5" customHeight="1" x14ac:dyDescent="0.35">
      <c r="A4" s="16">
        <v>2</v>
      </c>
      <c r="B4" s="9" t="s">
        <v>24</v>
      </c>
      <c r="C4" s="9" t="s">
        <v>52</v>
      </c>
      <c r="D4" s="9" t="s">
        <v>42</v>
      </c>
      <c r="E4" s="9" t="s">
        <v>43</v>
      </c>
      <c r="F4" s="10">
        <v>3</v>
      </c>
    </row>
    <row r="5" spans="1:6" ht="29.5" customHeight="1" x14ac:dyDescent="0.35">
      <c r="A5" s="16">
        <v>3</v>
      </c>
      <c r="B5" s="9" t="s">
        <v>25</v>
      </c>
      <c r="C5" s="9" t="s">
        <v>53</v>
      </c>
      <c r="D5" s="9" t="s">
        <v>42</v>
      </c>
      <c r="E5" s="9" t="s">
        <v>43</v>
      </c>
      <c r="F5" s="10">
        <v>2</v>
      </c>
    </row>
    <row r="6" spans="1:6" ht="29.5" customHeight="1" x14ac:dyDescent="0.35">
      <c r="A6" s="16">
        <v>4</v>
      </c>
      <c r="B6" s="9" t="s">
        <v>26</v>
      </c>
      <c r="C6" s="9" t="s">
        <v>52</v>
      </c>
      <c r="D6" s="9" t="s">
        <v>42</v>
      </c>
      <c r="E6" s="9" t="s">
        <v>43</v>
      </c>
      <c r="F6" s="10">
        <v>2</v>
      </c>
    </row>
    <row r="7" spans="1:6" ht="29.5" customHeight="1" x14ac:dyDescent="0.35">
      <c r="A7" s="16">
        <v>5</v>
      </c>
      <c r="B7" s="9" t="s">
        <v>27</v>
      </c>
      <c r="C7" s="9" t="s">
        <v>54</v>
      </c>
      <c r="D7" s="9" t="s">
        <v>42</v>
      </c>
      <c r="E7" s="9" t="s">
        <v>43</v>
      </c>
      <c r="F7" s="10">
        <v>2</v>
      </c>
    </row>
    <row r="8" spans="1:6" ht="29.5" customHeight="1" x14ac:dyDescent="0.35">
      <c r="A8" s="16">
        <v>6</v>
      </c>
      <c r="B8" s="9" t="s">
        <v>28</v>
      </c>
      <c r="C8" s="9" t="s">
        <v>55</v>
      </c>
      <c r="D8" s="9" t="s">
        <v>42</v>
      </c>
      <c r="E8" s="9" t="s">
        <v>43</v>
      </c>
      <c r="F8" s="10">
        <v>1</v>
      </c>
    </row>
    <row r="9" spans="1:6" ht="29.5" customHeight="1" x14ac:dyDescent="0.35">
      <c r="A9" s="16">
        <v>7</v>
      </c>
      <c r="B9" s="9" t="s">
        <v>29</v>
      </c>
      <c r="C9" s="9" t="s">
        <v>52</v>
      </c>
      <c r="D9" s="9" t="s">
        <v>42</v>
      </c>
      <c r="E9" s="9" t="s">
        <v>43</v>
      </c>
      <c r="F9" s="10">
        <v>1</v>
      </c>
    </row>
    <row r="10" spans="1:6" ht="29.5" customHeight="1" x14ac:dyDescent="0.35">
      <c r="A10" s="16">
        <v>8</v>
      </c>
      <c r="B10" s="9" t="s">
        <v>30</v>
      </c>
      <c r="C10" s="9" t="s">
        <v>52</v>
      </c>
      <c r="D10" s="9" t="s">
        <v>42</v>
      </c>
      <c r="E10" s="9" t="s">
        <v>43</v>
      </c>
      <c r="F10" s="10">
        <v>1</v>
      </c>
    </row>
    <row r="11" spans="1:6" ht="29.5" customHeight="1" x14ac:dyDescent="0.35">
      <c r="A11" s="16">
        <v>9</v>
      </c>
      <c r="B11" s="9" t="s">
        <v>31</v>
      </c>
      <c r="C11" s="9" t="s">
        <v>52</v>
      </c>
      <c r="D11" s="9" t="s">
        <v>42</v>
      </c>
      <c r="E11" s="9" t="s">
        <v>43</v>
      </c>
      <c r="F11" s="10">
        <v>1</v>
      </c>
    </row>
    <row r="12" spans="1:6" ht="29.5" customHeight="1" x14ac:dyDescent="0.35">
      <c r="A12" s="16">
        <v>10</v>
      </c>
      <c r="B12" s="9" t="s">
        <v>32</v>
      </c>
      <c r="C12" s="9" t="s">
        <v>56</v>
      </c>
      <c r="D12" s="9" t="s">
        <v>42</v>
      </c>
      <c r="E12" s="9" t="s">
        <v>43</v>
      </c>
      <c r="F12" s="10">
        <v>1</v>
      </c>
    </row>
    <row r="13" spans="1:6" ht="29.5" customHeight="1" x14ac:dyDescent="0.35">
      <c r="A13" s="16">
        <v>11</v>
      </c>
      <c r="B13" s="9" t="s">
        <v>33</v>
      </c>
      <c r="C13" s="9" t="s">
        <v>54</v>
      </c>
      <c r="D13" s="9" t="s">
        <v>42</v>
      </c>
      <c r="E13" s="9" t="s">
        <v>43</v>
      </c>
      <c r="F13" s="10">
        <v>1</v>
      </c>
    </row>
    <row r="14" spans="1:6" ht="29.5" customHeight="1" x14ac:dyDescent="0.35">
      <c r="A14" s="16">
        <v>12</v>
      </c>
      <c r="B14" s="9" t="s">
        <v>28</v>
      </c>
      <c r="C14" s="9" t="s">
        <v>55</v>
      </c>
      <c r="D14" s="9" t="s">
        <v>42</v>
      </c>
      <c r="E14" s="9" t="s">
        <v>43</v>
      </c>
      <c r="F14" s="10">
        <v>1</v>
      </c>
    </row>
    <row r="15" spans="1:6" ht="29.5" customHeight="1" x14ac:dyDescent="0.35">
      <c r="A15" s="16">
        <v>13</v>
      </c>
      <c r="B15" s="9" t="s">
        <v>34</v>
      </c>
      <c r="C15" s="9" t="s">
        <v>57</v>
      </c>
      <c r="D15" s="9" t="s">
        <v>42</v>
      </c>
      <c r="E15" s="9" t="s">
        <v>43</v>
      </c>
      <c r="F15" s="10">
        <v>1</v>
      </c>
    </row>
    <row r="16" spans="1:6" ht="29.5" customHeight="1" x14ac:dyDescent="0.35">
      <c r="A16" s="16">
        <v>14</v>
      </c>
      <c r="B16" s="9" t="s">
        <v>35</v>
      </c>
      <c r="C16" s="9" t="s">
        <v>52</v>
      </c>
      <c r="D16" s="9" t="s">
        <v>42</v>
      </c>
      <c r="E16" s="9" t="s">
        <v>43</v>
      </c>
      <c r="F16" s="10">
        <v>1</v>
      </c>
    </row>
    <row r="17" spans="1:6" ht="29.5" customHeight="1" x14ac:dyDescent="0.35">
      <c r="A17" s="16">
        <v>15</v>
      </c>
      <c r="B17" s="9" t="s">
        <v>36</v>
      </c>
      <c r="C17" s="9" t="s">
        <v>58</v>
      </c>
      <c r="D17" s="9" t="s">
        <v>42</v>
      </c>
      <c r="E17" s="9" t="s">
        <v>43</v>
      </c>
      <c r="F17" s="10">
        <v>1</v>
      </c>
    </row>
    <row r="18" spans="1:6" ht="29.5" customHeight="1" x14ac:dyDescent="0.35">
      <c r="A18" s="16">
        <v>16</v>
      </c>
      <c r="B18" s="9" t="s">
        <v>37</v>
      </c>
      <c r="C18" s="9" t="s">
        <v>37</v>
      </c>
      <c r="D18" s="9" t="s">
        <v>42</v>
      </c>
      <c r="E18" s="9" t="s">
        <v>43</v>
      </c>
      <c r="F18" s="10">
        <v>1</v>
      </c>
    </row>
    <row r="19" spans="1:6" ht="29.5" customHeight="1" x14ac:dyDescent="0.35">
      <c r="A19" s="16">
        <v>17</v>
      </c>
      <c r="B19" s="9" t="s">
        <v>38</v>
      </c>
      <c r="C19" s="9" t="s">
        <v>54</v>
      </c>
      <c r="D19" s="9" t="s">
        <v>42</v>
      </c>
      <c r="E19" s="9" t="s">
        <v>43</v>
      </c>
      <c r="F19" s="10">
        <v>1</v>
      </c>
    </row>
    <row r="20" spans="1:6" ht="29.5" customHeight="1" x14ac:dyDescent="0.35">
      <c r="A20" s="16">
        <v>18</v>
      </c>
      <c r="B20" s="9" t="s">
        <v>39</v>
      </c>
      <c r="C20" s="9" t="s">
        <v>54</v>
      </c>
      <c r="D20" s="9" t="s">
        <v>42</v>
      </c>
      <c r="E20" s="9" t="s">
        <v>43</v>
      </c>
      <c r="F20" s="10">
        <v>1</v>
      </c>
    </row>
    <row r="21" spans="1:6" ht="29.5" customHeight="1" x14ac:dyDescent="0.35">
      <c r="A21" s="16">
        <v>19</v>
      </c>
      <c r="B21" s="9" t="s">
        <v>40</v>
      </c>
      <c r="C21" s="9" t="s">
        <v>59</v>
      </c>
      <c r="D21" s="9" t="s">
        <v>42</v>
      </c>
      <c r="E21" s="9" t="s">
        <v>43</v>
      </c>
      <c r="F21" s="10">
        <v>1</v>
      </c>
    </row>
    <row r="22" spans="1:6" ht="29.5" customHeight="1" thickBot="1" x14ac:dyDescent="0.4">
      <c r="A22" s="17">
        <v>20</v>
      </c>
      <c r="B22" s="11" t="s">
        <v>41</v>
      </c>
      <c r="C22" s="11" t="s">
        <v>54</v>
      </c>
      <c r="D22" s="11" t="s">
        <v>42</v>
      </c>
      <c r="E22" s="11" t="s">
        <v>43</v>
      </c>
      <c r="F22" s="12">
        <v>1</v>
      </c>
    </row>
    <row r="25" spans="1:6" x14ac:dyDescent="0.35">
      <c r="E25"/>
      <c r="F25"/>
    </row>
  </sheetData>
  <sortState xmlns:xlrd2="http://schemas.microsoft.com/office/spreadsheetml/2017/richdata2" ref="A3:F22">
    <sortCondition descending="1" ref="F3:F22"/>
  </sortState>
  <mergeCells count="1">
    <mergeCell ref="A1:F1"/>
  </mergeCells>
  <conditionalFormatting sqref="F3">
    <cfRule type="cellIs" dxfId="5" priority="17" operator="greaterThan">
      <formula>3</formula>
    </cfRule>
  </conditionalFormatting>
  <conditionalFormatting sqref="F3:F2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" priority="12" operator="greaterThan">
      <formula>1</formula>
    </cfRule>
    <cfRule type="cellIs" dxfId="3" priority="15" operator="lessThan">
      <formula>2</formula>
    </cfRule>
    <cfRule type="cellIs" dxfId="2" priority="16" operator="greaterThan">
      <formula>2</formula>
    </cfRule>
  </conditionalFormatting>
  <conditionalFormatting sqref="F3:F23">
    <cfRule type="cellIs" dxfId="1" priority="13" operator="equal">
      <formula>2</formula>
    </cfRule>
  </conditionalFormatting>
  <conditionalFormatting sqref="H8">
    <cfRule type="cellIs" dxfId="0" priority="14" operator="equal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9C42-81B5-4B8F-A560-5AFD8D255CDB}">
  <dimension ref="A1:B6"/>
  <sheetViews>
    <sheetView workbookViewId="0">
      <selection activeCell="B2" sqref="B2"/>
    </sheetView>
  </sheetViews>
  <sheetFormatPr defaultRowHeight="14.5" x14ac:dyDescent="0.35"/>
  <cols>
    <col min="1" max="2" width="19.1796875" customWidth="1"/>
  </cols>
  <sheetData>
    <row r="1" spans="1:2" ht="29.5" customHeight="1" x14ac:dyDescent="0.35">
      <c r="A1" s="18" t="s">
        <v>44</v>
      </c>
      <c r="B1" s="19" t="s">
        <v>45</v>
      </c>
    </row>
    <row r="2" spans="1:2" ht="29.5" customHeight="1" x14ac:dyDescent="0.35">
      <c r="A2" s="20" t="s">
        <v>46</v>
      </c>
      <c r="B2" s="21">
        <f>COUNTA(Raw_Data!B3:B22)</f>
        <v>20</v>
      </c>
    </row>
    <row r="3" spans="1:2" ht="29.5" customHeight="1" x14ac:dyDescent="0.35">
      <c r="A3" s="20" t="s">
        <v>47</v>
      </c>
      <c r="B3" s="21">
        <f>SUM(Raw_Data!F3:F22)</f>
        <v>27</v>
      </c>
    </row>
    <row r="4" spans="1:2" ht="29.5" customHeight="1" x14ac:dyDescent="0.35">
      <c r="A4" s="20" t="s">
        <v>48</v>
      </c>
      <c r="B4" s="21">
        <f>AVERAGE(Raw_Data!F3:F22)</f>
        <v>1.35</v>
      </c>
    </row>
    <row r="5" spans="1:2" ht="29.5" customHeight="1" x14ac:dyDescent="0.35">
      <c r="A5" s="20" t="s">
        <v>49</v>
      </c>
      <c r="B5" s="21">
        <f>MAX(Raw_Data!F3:F22)</f>
        <v>3</v>
      </c>
    </row>
    <row r="6" spans="1:2" ht="29.5" customHeight="1" thickBot="1" x14ac:dyDescent="0.4">
      <c r="A6" s="22" t="s">
        <v>50</v>
      </c>
      <c r="B6" s="23">
        <f>MIN(Raw_Data!F3:F22)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7CB1-FE97-4934-914F-91107D159BF6}">
  <dimension ref="A1:C9"/>
  <sheetViews>
    <sheetView workbookViewId="0">
      <selection activeCell="C5" sqref="C5"/>
    </sheetView>
  </sheetViews>
  <sheetFormatPr defaultRowHeight="14.5" x14ac:dyDescent="0.35"/>
  <cols>
    <col min="1" max="4" width="29.08984375" customWidth="1"/>
    <col min="5" max="5" width="15.90625" bestFit="1" customWidth="1"/>
    <col min="6" max="6" width="9.26953125" bestFit="1" customWidth="1"/>
    <col min="7" max="7" width="12.08984375" bestFit="1" customWidth="1"/>
  </cols>
  <sheetData>
    <row r="1" spans="1:3" x14ac:dyDescent="0.35">
      <c r="A1" s="49" t="s">
        <v>83</v>
      </c>
      <c r="B1" s="49" t="s">
        <v>45</v>
      </c>
      <c r="C1" s="8"/>
    </row>
    <row r="2" spans="1:3" x14ac:dyDescent="0.35">
      <c r="A2" s="50" t="s">
        <v>46</v>
      </c>
      <c r="B2" s="50">
        <v>20</v>
      </c>
      <c r="C2" s="8"/>
    </row>
    <row r="3" spans="1:3" x14ac:dyDescent="0.35">
      <c r="A3" s="50" t="s">
        <v>72</v>
      </c>
      <c r="B3" s="50">
        <v>27</v>
      </c>
      <c r="C3" s="8"/>
    </row>
    <row r="4" spans="1:3" x14ac:dyDescent="0.35">
      <c r="A4" s="50" t="s">
        <v>48</v>
      </c>
      <c r="B4" s="50">
        <v>1.35</v>
      </c>
      <c r="C4" s="8"/>
    </row>
    <row r="5" spans="1:3" x14ac:dyDescent="0.35">
      <c r="A5" s="50" t="s">
        <v>84</v>
      </c>
      <c r="B5" s="50" t="s">
        <v>52</v>
      </c>
      <c r="C5" s="8"/>
    </row>
    <row r="6" spans="1:3" x14ac:dyDescent="0.35">
      <c r="A6" s="50" t="s">
        <v>85</v>
      </c>
      <c r="B6" s="50" t="s">
        <v>88</v>
      </c>
      <c r="C6" s="8"/>
    </row>
    <row r="7" spans="1:3" x14ac:dyDescent="0.35">
      <c r="A7" s="50" t="s">
        <v>86</v>
      </c>
      <c r="B7" s="50" t="s">
        <v>23</v>
      </c>
      <c r="C7" s="8"/>
    </row>
    <row r="8" spans="1:3" x14ac:dyDescent="0.35">
      <c r="A8" s="50" t="s">
        <v>87</v>
      </c>
      <c r="B8" s="50">
        <v>3</v>
      </c>
      <c r="C8" s="8"/>
    </row>
    <row r="9" spans="1:3" x14ac:dyDescent="0.35">
      <c r="A9" s="8"/>
      <c r="B9" s="8"/>
      <c r="C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6653-71EF-4BE8-9160-D4E3384E56C0}">
  <dimension ref="A1:B10"/>
  <sheetViews>
    <sheetView zoomScale="98" workbookViewId="0">
      <selection activeCell="N9" sqref="N9"/>
    </sheetView>
  </sheetViews>
  <sheetFormatPr defaultRowHeight="14.5" x14ac:dyDescent="0.35"/>
  <cols>
    <col min="1" max="1" width="20.54296875" customWidth="1"/>
    <col min="2" max="2" width="21.6328125" customWidth="1"/>
  </cols>
  <sheetData>
    <row r="1" spans="1:2" ht="26" customHeight="1" x14ac:dyDescent="0.35">
      <c r="A1" s="27" t="s">
        <v>16</v>
      </c>
      <c r="B1" s="28" t="s">
        <v>20</v>
      </c>
    </row>
    <row r="2" spans="1:2" x14ac:dyDescent="0.35">
      <c r="A2" s="16" t="s">
        <v>23</v>
      </c>
      <c r="B2" s="10">
        <f>SUMIF(Raw_Data!C:C,A2,Raw_Data!F:F)</f>
        <v>3</v>
      </c>
    </row>
    <row r="3" spans="1:2" x14ac:dyDescent="0.35">
      <c r="A3" s="16" t="s">
        <v>52</v>
      </c>
      <c r="B3" s="10">
        <f>SUMIF(Raw_Data!C:C,A3,Raw_Data!F:F)</f>
        <v>9</v>
      </c>
    </row>
    <row r="4" spans="1:2" x14ac:dyDescent="0.35">
      <c r="A4" s="16" t="s">
        <v>53</v>
      </c>
      <c r="B4" s="10">
        <f>SUMIF(Raw_Data!C:C,A4,Raw_Data!F:F)</f>
        <v>2</v>
      </c>
    </row>
    <row r="5" spans="1:2" x14ac:dyDescent="0.35">
      <c r="A5" s="16" t="s">
        <v>54</v>
      </c>
      <c r="B5" s="10">
        <f>SUMIF(Raw_Data!C:C,A5,Raw_Data!F:F)</f>
        <v>7</v>
      </c>
    </row>
    <row r="6" spans="1:2" x14ac:dyDescent="0.35">
      <c r="A6" s="16" t="s">
        <v>55</v>
      </c>
      <c r="B6" s="10">
        <f>SUMIF(Raw_Data!C:C,A6,Raw_Data!F:F)</f>
        <v>2</v>
      </c>
    </row>
    <row r="7" spans="1:2" x14ac:dyDescent="0.35">
      <c r="A7" s="16" t="s">
        <v>56</v>
      </c>
      <c r="B7" s="10">
        <f>SUMIF(Raw_Data!C:C,A7,Raw_Data!F:F)</f>
        <v>1</v>
      </c>
    </row>
    <row r="8" spans="1:2" x14ac:dyDescent="0.35">
      <c r="A8" s="16" t="s">
        <v>58</v>
      </c>
      <c r="B8" s="10">
        <f>SUMIF(Raw_Data!C:C,A8,Raw_Data!F:F)</f>
        <v>1</v>
      </c>
    </row>
    <row r="9" spans="1:2" x14ac:dyDescent="0.35">
      <c r="A9" s="16" t="s">
        <v>57</v>
      </c>
      <c r="B9" s="10">
        <f>SUMIF(Raw_Data!C:C,A9,Raw_Data!F:F)</f>
        <v>1</v>
      </c>
    </row>
    <row r="10" spans="1:2" ht="15" thickBot="1" x14ac:dyDescent="0.4">
      <c r="A10" s="17" t="s">
        <v>37</v>
      </c>
      <c r="B10" s="12">
        <f>SUMIF(Raw_Data!C:C,A10,Raw_Data!F:F)</f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A004-A7E4-43D3-9D3D-69868C22DC63}">
  <dimension ref="A1:H17"/>
  <sheetViews>
    <sheetView zoomScale="73" workbookViewId="0">
      <selection activeCell="C7" sqref="C7"/>
    </sheetView>
  </sheetViews>
  <sheetFormatPr defaultRowHeight="14.5" x14ac:dyDescent="0.35"/>
  <cols>
    <col min="1" max="1" width="19.1796875" bestFit="1" customWidth="1"/>
    <col min="2" max="2" width="14.08984375" bestFit="1" customWidth="1"/>
    <col min="3" max="3" width="26.1796875" customWidth="1"/>
  </cols>
  <sheetData>
    <row r="1" spans="1:8" ht="18.5" x14ac:dyDescent="0.35">
      <c r="A1" s="30" t="s">
        <v>60</v>
      </c>
      <c r="B1" s="30" t="s">
        <v>61</v>
      </c>
    </row>
    <row r="2" spans="1:8" ht="16" customHeight="1" x14ac:dyDescent="0.35">
      <c r="A2" s="29" t="s">
        <v>62</v>
      </c>
      <c r="B2" s="29">
        <v>10</v>
      </c>
    </row>
    <row r="3" spans="1:8" ht="20" customHeight="1" x14ac:dyDescent="0.45">
      <c r="A3" s="29" t="s">
        <v>63</v>
      </c>
      <c r="B3" s="29">
        <v>8</v>
      </c>
      <c r="D3" s="31" t="s">
        <v>69</v>
      </c>
      <c r="E3" s="32"/>
      <c r="F3" s="32"/>
      <c r="G3" s="32"/>
      <c r="H3" s="32"/>
    </row>
    <row r="4" spans="1:8" ht="21.5" customHeight="1" x14ac:dyDescent="0.35">
      <c r="A4" s="29" t="s">
        <v>64</v>
      </c>
      <c r="B4" s="29">
        <v>4</v>
      </c>
    </row>
    <row r="5" spans="1:8" ht="13.5" customHeight="1" x14ac:dyDescent="0.35">
      <c r="A5" s="29" t="s">
        <v>65</v>
      </c>
      <c r="B5" s="29">
        <v>3</v>
      </c>
    </row>
    <row r="6" spans="1:8" ht="14" customHeight="1" x14ac:dyDescent="0.35">
      <c r="A6" s="29" t="s">
        <v>66</v>
      </c>
      <c r="B6" s="29">
        <v>2</v>
      </c>
    </row>
    <row r="9" spans="1:8" ht="29.5" customHeight="1" x14ac:dyDescent="0.35"/>
    <row r="13" spans="1:8" x14ac:dyDescent="0.35">
      <c r="A13" s="8"/>
      <c r="B13" s="8"/>
    </row>
    <row r="14" spans="1:8" x14ac:dyDescent="0.35">
      <c r="A14" s="8" t="s">
        <v>67</v>
      </c>
      <c r="B14" s="8">
        <f>-SUM(B2:B6)</f>
        <v>-27</v>
      </c>
    </row>
    <row r="15" spans="1:8" x14ac:dyDescent="0.35">
      <c r="A15" s="8"/>
      <c r="B15" s="8"/>
    </row>
    <row r="16" spans="1:8" x14ac:dyDescent="0.35">
      <c r="A16" s="8" t="s">
        <v>68</v>
      </c>
      <c r="B16" s="8" t="str">
        <f>INDEX(A2:A6,MATCH(MAX(B2:B6),B2:B6,0))</f>
        <v>benefits</v>
      </c>
    </row>
    <row r="17" spans="1:2" x14ac:dyDescent="0.35">
      <c r="A17" s="8"/>
      <c r="B17" s="8"/>
    </row>
  </sheetData>
  <mergeCells count="1">
    <mergeCell ref="D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C9FD-7F14-420B-9425-A358A71658F6}">
  <dimension ref="A1:S22"/>
  <sheetViews>
    <sheetView tabSelected="1" zoomScale="46" workbookViewId="0">
      <selection activeCell="N15" sqref="N15"/>
    </sheetView>
  </sheetViews>
  <sheetFormatPr defaultRowHeight="14.5" x14ac:dyDescent="0.35"/>
  <cols>
    <col min="1" max="1" width="17.54296875" bestFit="1" customWidth="1"/>
    <col min="2" max="2" width="11.7265625" customWidth="1"/>
  </cols>
  <sheetData>
    <row r="1" spans="1:19" ht="22" customHeight="1" thickBot="1" x14ac:dyDescent="0.4">
      <c r="A1" s="33" t="s">
        <v>44</v>
      </c>
      <c r="B1" s="34" t="s">
        <v>70</v>
      </c>
    </row>
    <row r="2" spans="1:19" ht="21" x14ac:dyDescent="0.5">
      <c r="A2" s="35" t="s">
        <v>71</v>
      </c>
      <c r="B2" s="36">
        <f>SUM('Performance overview'!B2)</f>
        <v>20</v>
      </c>
      <c r="G2" s="39" t="s">
        <v>75</v>
      </c>
      <c r="H2" s="39"/>
      <c r="I2" s="39"/>
      <c r="J2" s="39"/>
      <c r="K2" s="39"/>
      <c r="O2" s="41" t="s">
        <v>77</v>
      </c>
      <c r="P2" s="42"/>
      <c r="Q2" s="42"/>
      <c r="R2" s="42"/>
      <c r="S2" s="43"/>
    </row>
    <row r="3" spans="1:19" ht="18.5" x14ac:dyDescent="0.45">
      <c r="A3" s="35" t="s">
        <v>72</v>
      </c>
      <c r="B3" s="36">
        <f>SUM('Performance overview'!B3)</f>
        <v>27</v>
      </c>
      <c r="O3" s="44" t="s">
        <v>78</v>
      </c>
      <c r="P3" s="40"/>
      <c r="Q3" s="40"/>
      <c r="R3" s="40"/>
      <c r="S3" s="45"/>
    </row>
    <row r="4" spans="1:19" ht="18.5" x14ac:dyDescent="0.45">
      <c r="A4" s="35" t="s">
        <v>73</v>
      </c>
      <c r="B4" s="36">
        <f>MAX(category_Analysis!A1:C10)</f>
        <v>9</v>
      </c>
      <c r="O4" s="44" t="s">
        <v>79</v>
      </c>
      <c r="P4" s="40"/>
      <c r="Q4" s="40"/>
      <c r="R4" s="40"/>
      <c r="S4" s="45"/>
    </row>
    <row r="5" spans="1:19" ht="18.5" x14ac:dyDescent="0.45">
      <c r="A5" s="35" t="s">
        <v>68</v>
      </c>
      <c r="B5" s="36">
        <f>MAX(Hook_Analysis!A1:B6)</f>
        <v>10</v>
      </c>
      <c r="O5" s="44" t="s">
        <v>80</v>
      </c>
      <c r="P5" s="40"/>
      <c r="Q5" s="40"/>
      <c r="R5" s="40"/>
      <c r="S5" s="45"/>
    </row>
    <row r="6" spans="1:19" ht="19" thickBot="1" x14ac:dyDescent="0.5">
      <c r="A6" s="37" t="s">
        <v>74</v>
      </c>
      <c r="B6" s="38">
        <f>AVERAGE('Performance overview'!B4)</f>
        <v>1.35</v>
      </c>
      <c r="O6" s="44" t="s">
        <v>81</v>
      </c>
      <c r="P6" s="40"/>
      <c r="Q6" s="40"/>
      <c r="R6" s="40"/>
      <c r="S6" s="45"/>
    </row>
    <row r="7" spans="1:19" ht="19" thickBot="1" x14ac:dyDescent="0.5">
      <c r="O7" s="46" t="s">
        <v>82</v>
      </c>
      <c r="P7" s="47"/>
      <c r="Q7" s="47"/>
      <c r="R7" s="47"/>
      <c r="S7" s="48"/>
    </row>
    <row r="22" spans="7:11" ht="21" x14ac:dyDescent="0.5">
      <c r="G22" s="39" t="s">
        <v>76</v>
      </c>
      <c r="H22" s="39"/>
      <c r="I22" s="39"/>
      <c r="J22" s="39"/>
      <c r="K22" s="39"/>
    </row>
  </sheetData>
  <mergeCells count="8">
    <mergeCell ref="G2:K2"/>
    <mergeCell ref="G22:K22"/>
    <mergeCell ref="O2:S2"/>
    <mergeCell ref="O3:S3"/>
    <mergeCell ref="O4:S4"/>
    <mergeCell ref="O6:S6"/>
    <mergeCell ref="O7:S7"/>
    <mergeCell ref="O5:S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Raw_Data</vt:lpstr>
      <vt:lpstr>Performance overview</vt:lpstr>
      <vt:lpstr>Daily_Summary</vt:lpstr>
      <vt:lpstr>category_Analysis</vt:lpstr>
      <vt:lpstr>Hook_Analysis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2026-07-10T08:59:24Z</dcterms:created>
  <dcterms:modified xsi:type="dcterms:W3CDTF">2026-07-16T13:03:47Z</dcterms:modified>
</cp:coreProperties>
</file>