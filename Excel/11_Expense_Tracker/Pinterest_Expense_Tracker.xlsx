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11_Expense_Tracker/"/>
    </mc:Choice>
  </mc:AlternateContent>
  <xr:revisionPtr revIDLastSave="377" documentId="8_{BC0F40C2-D3A5-4C77-A2B8-46676CF5BFA5}" xr6:coauthVersionLast="47" xr6:coauthVersionMax="47" xr10:uidLastSave="{C358A728-A613-4EEF-87BC-3B7C6C64C817}"/>
  <bookViews>
    <workbookView xWindow="-110" yWindow="-110" windowWidth="19420" windowHeight="10300" firstSheet="1" activeTab="2" xr2:uid="{9E10541B-473F-48E9-B4A5-F8CC666742BA}"/>
  </bookViews>
  <sheets>
    <sheet name="README" sheetId="1" r:id="rId1"/>
    <sheet name="Expense data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E2" i="3"/>
  <c r="E6" i="3" s="1"/>
  <c r="E3" i="3"/>
  <c r="E4" i="3"/>
  <c r="B11" i="3"/>
  <c r="B12" i="3"/>
  <c r="B13" i="3"/>
  <c r="B14" i="3"/>
  <c r="B10" i="3"/>
  <c r="B6" i="3"/>
  <c r="B5" i="3"/>
  <c r="B4" i="3"/>
  <c r="B3" i="3"/>
  <c r="B2" i="3"/>
  <c r="I2" i="2"/>
</calcChain>
</file>

<file path=xl/sharedStrings.xml><?xml version="1.0" encoding="utf-8"?>
<sst xmlns="http://schemas.openxmlformats.org/spreadsheetml/2006/main" count="89" uniqueCount="44">
  <si>
    <t>Date</t>
  </si>
  <si>
    <t>Category</t>
  </si>
  <si>
    <t>payment method</t>
  </si>
  <si>
    <t>cash</t>
  </si>
  <si>
    <t>Categorty</t>
  </si>
  <si>
    <t>Description</t>
  </si>
  <si>
    <t>Amount</t>
  </si>
  <si>
    <t>Month</t>
  </si>
  <si>
    <t>31-09-2026</t>
  </si>
  <si>
    <t>Food</t>
  </si>
  <si>
    <t>Transport</t>
  </si>
  <si>
    <t>Shopping</t>
  </si>
  <si>
    <t>Bills</t>
  </si>
  <si>
    <t>Entertainment</t>
  </si>
  <si>
    <t>Groceries</t>
  </si>
  <si>
    <t>Auto Fare</t>
  </si>
  <si>
    <t>Clothes</t>
  </si>
  <si>
    <t>Electricity</t>
  </si>
  <si>
    <t>Restaturant</t>
  </si>
  <si>
    <t>Bus Pass</t>
  </si>
  <si>
    <t>Household Items</t>
  </si>
  <si>
    <t>Movie</t>
  </si>
  <si>
    <t>Vegetables</t>
  </si>
  <si>
    <t>Internet</t>
  </si>
  <si>
    <t>Kitchen items</t>
  </si>
  <si>
    <t>Cab</t>
  </si>
  <si>
    <t>Subscription</t>
  </si>
  <si>
    <t>MobileBill</t>
  </si>
  <si>
    <t>UPI</t>
  </si>
  <si>
    <t>Cash</t>
  </si>
  <si>
    <t>Card</t>
  </si>
  <si>
    <t>card</t>
  </si>
  <si>
    <t>August</t>
  </si>
  <si>
    <t>Total</t>
  </si>
  <si>
    <t>Expense Summary</t>
  </si>
  <si>
    <t>Total Expenses</t>
  </si>
  <si>
    <t>Average Expense</t>
  </si>
  <si>
    <t>Highest Expense</t>
  </si>
  <si>
    <t>Lowest Expense</t>
  </si>
  <si>
    <t>Number of Expenses</t>
  </si>
  <si>
    <t>Total Expense</t>
  </si>
  <si>
    <t>Payment Method</t>
  </si>
  <si>
    <t>total</t>
  </si>
  <si>
    <t>Most Expensive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</si>
</sst>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169" fontId="0" fillId="0" borderId="0" xfId="0" applyNumberFormat="1"/>
    <xf numFmtId="1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4" fontId="4" fillId="2" borderId="10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69" fontId="4" fillId="2" borderId="11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4" fontId="3" fillId="3" borderId="13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69" fontId="3" fillId="3" borderId="14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69" fontId="0" fillId="7" borderId="5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69" fontId="0" fillId="7" borderId="7" xfId="0" applyNumberFormat="1" applyFill="1" applyBorder="1" applyAlignment="1">
      <alignment horizontal="center" vertical="center"/>
    </xf>
    <xf numFmtId="169" fontId="0" fillId="5" borderId="5" xfId="0" applyNumberFormat="1" applyFill="1" applyBorder="1" applyAlignment="1">
      <alignment horizontal="center" vertical="center"/>
    </xf>
    <xf numFmtId="169" fontId="0" fillId="5" borderId="7" xfId="0" applyNumberForma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/>
    </xf>
    <xf numFmtId="169" fontId="3" fillId="5" borderId="17" xfId="0" applyNumberFormat="1" applyFont="1" applyFill="1" applyBorder="1" applyAlignment="1">
      <alignment horizontal="center"/>
    </xf>
    <xf numFmtId="0" fontId="0" fillId="8" borderId="1" xfId="0" applyFill="1" applyBorder="1"/>
    <xf numFmtId="0" fontId="0" fillId="3" borderId="1" xfId="0" applyFill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C7CDA-BD17-4D08-876E-57CB4F842A81}" name="Table1" displayName="Table1" ref="A1:F16" totalsRowShown="0" headerRowDxfId="0" dataDxfId="1" headerRowBorderDxfId="9" tableBorderDxfId="10" totalsRowBorderDxfId="8">
  <autoFilter ref="A1:F16" xr:uid="{AEEC7CDA-BD17-4D08-876E-57CB4F842A81}"/>
  <tableColumns count="6">
    <tableColumn id="1" xr3:uid="{415A000F-B7F5-4A74-96F5-0011F18BB30C}" name="Date" dataDxfId="7"/>
    <tableColumn id="2" xr3:uid="{BA05BE4C-36F6-45C6-BCD8-DA923FB78134}" name="Categorty" dataDxfId="6"/>
    <tableColumn id="3" xr3:uid="{88E49356-8BD8-46B2-AD31-531003E0FD62}" name="Description" dataDxfId="5"/>
    <tableColumn id="4" xr3:uid="{070F3A9D-3CEF-4C7D-B6ED-2DA7F8BDF7A2}" name="payment method" dataDxfId="4"/>
    <tableColumn id="5" xr3:uid="{57347867-5DDF-4484-80B8-F8BDA8CFCFA9}" name="Amount" dataDxfId="3"/>
    <tableColumn id="6" xr3:uid="{D50835BA-9953-4B41-ADEF-EAB8990CDB72}" name="Mont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E9F5-51AE-454F-9A30-30D26E08D61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418A-E9ED-435E-AB0E-C50E22329E10}">
  <dimension ref="A1:I24"/>
  <sheetViews>
    <sheetView topLeftCell="B1" zoomScale="65" workbookViewId="0">
      <selection activeCell="J6" sqref="J6"/>
    </sheetView>
  </sheetViews>
  <sheetFormatPr defaultRowHeight="14.5" x14ac:dyDescent="0.35"/>
  <cols>
    <col min="1" max="1" width="22" style="1" customWidth="1"/>
    <col min="2" max="4" width="22" customWidth="1"/>
    <col min="5" max="5" width="22" style="6" customWidth="1"/>
    <col min="6" max="6" width="22" customWidth="1"/>
    <col min="9" max="9" width="17.453125" customWidth="1"/>
  </cols>
  <sheetData>
    <row r="1" spans="1:9" ht="30.5" customHeight="1" x14ac:dyDescent="0.45">
      <c r="A1" s="9" t="s">
        <v>0</v>
      </c>
      <c r="B1" s="10" t="s">
        <v>4</v>
      </c>
      <c r="C1" s="10" t="s">
        <v>5</v>
      </c>
      <c r="D1" s="10" t="s">
        <v>2</v>
      </c>
      <c r="E1" s="11" t="s">
        <v>6</v>
      </c>
      <c r="F1" s="12" t="s">
        <v>7</v>
      </c>
      <c r="I1" s="32" t="s">
        <v>33</v>
      </c>
    </row>
    <row r="2" spans="1:9" ht="30.5" customHeight="1" thickBot="1" x14ac:dyDescent="0.45">
      <c r="A2" s="7">
        <v>46266</v>
      </c>
      <c r="B2" s="3" t="s">
        <v>9</v>
      </c>
      <c r="C2" s="3" t="s">
        <v>14</v>
      </c>
      <c r="D2" s="3" t="s">
        <v>28</v>
      </c>
      <c r="E2" s="5">
        <v>850</v>
      </c>
      <c r="F2" s="8" t="s">
        <v>32</v>
      </c>
      <c r="I2" s="33">
        <f>SUM(Table1[Amount])</f>
        <v>10897</v>
      </c>
    </row>
    <row r="3" spans="1:9" ht="30.5" customHeight="1" x14ac:dyDescent="0.35">
      <c r="A3" s="7">
        <v>46267</v>
      </c>
      <c r="B3" s="3" t="s">
        <v>10</v>
      </c>
      <c r="C3" s="3" t="s">
        <v>15</v>
      </c>
      <c r="D3" s="3" t="s">
        <v>3</v>
      </c>
      <c r="E3" s="5">
        <v>300</v>
      </c>
      <c r="F3" s="8" t="s">
        <v>32</v>
      </c>
    </row>
    <row r="4" spans="1:9" ht="30.5" customHeight="1" x14ac:dyDescent="0.35">
      <c r="A4" s="7">
        <v>46268</v>
      </c>
      <c r="B4" s="3" t="s">
        <v>11</v>
      </c>
      <c r="C4" s="3" t="s">
        <v>16</v>
      </c>
      <c r="D4" s="3" t="s">
        <v>28</v>
      </c>
      <c r="E4" s="5">
        <v>1500</v>
      </c>
      <c r="F4" s="8" t="s">
        <v>32</v>
      </c>
    </row>
    <row r="5" spans="1:9" ht="30.5" customHeight="1" x14ac:dyDescent="0.35">
      <c r="A5" s="7">
        <v>46270</v>
      </c>
      <c r="B5" s="4" t="s">
        <v>12</v>
      </c>
      <c r="C5" s="3" t="s">
        <v>17</v>
      </c>
      <c r="D5" s="3" t="s">
        <v>28</v>
      </c>
      <c r="E5" s="5">
        <v>1200</v>
      </c>
      <c r="F5" s="8" t="s">
        <v>32</v>
      </c>
    </row>
    <row r="6" spans="1:9" ht="30.5" customHeight="1" x14ac:dyDescent="0.35">
      <c r="A6" s="7">
        <v>46272</v>
      </c>
      <c r="B6" s="4" t="s">
        <v>9</v>
      </c>
      <c r="C6" s="3" t="s">
        <v>18</v>
      </c>
      <c r="D6" s="3" t="s">
        <v>31</v>
      </c>
      <c r="E6" s="5">
        <v>650</v>
      </c>
      <c r="F6" s="8" t="s">
        <v>32</v>
      </c>
    </row>
    <row r="7" spans="1:9" ht="30.5" customHeight="1" x14ac:dyDescent="0.35">
      <c r="A7" s="7">
        <v>46274</v>
      </c>
      <c r="B7" s="4" t="s">
        <v>10</v>
      </c>
      <c r="C7" s="3" t="s">
        <v>19</v>
      </c>
      <c r="D7" s="3" t="s">
        <v>28</v>
      </c>
      <c r="E7" s="5">
        <v>500</v>
      </c>
      <c r="F7" s="8" t="s">
        <v>32</v>
      </c>
    </row>
    <row r="8" spans="1:9" ht="30.5" customHeight="1" x14ac:dyDescent="0.35">
      <c r="A8" s="7">
        <v>46276</v>
      </c>
      <c r="B8" s="4" t="s">
        <v>11</v>
      </c>
      <c r="C8" s="3" t="s">
        <v>20</v>
      </c>
      <c r="D8" s="3" t="s">
        <v>31</v>
      </c>
      <c r="E8" s="5">
        <v>900</v>
      </c>
      <c r="F8" s="8" t="s">
        <v>32</v>
      </c>
    </row>
    <row r="9" spans="1:9" ht="30.5" customHeight="1" x14ac:dyDescent="0.35">
      <c r="A9" s="7">
        <v>46279</v>
      </c>
      <c r="B9" s="4" t="s">
        <v>13</v>
      </c>
      <c r="C9" s="3" t="s">
        <v>21</v>
      </c>
      <c r="D9" s="3" t="s">
        <v>28</v>
      </c>
      <c r="E9" s="5">
        <v>400</v>
      </c>
      <c r="F9" s="8" t="s">
        <v>32</v>
      </c>
    </row>
    <row r="10" spans="1:9" ht="30.5" customHeight="1" x14ac:dyDescent="0.35">
      <c r="A10" s="7">
        <v>46282</v>
      </c>
      <c r="B10" s="4" t="s">
        <v>9</v>
      </c>
      <c r="C10" s="3" t="s">
        <v>22</v>
      </c>
      <c r="D10" s="3" t="s">
        <v>3</v>
      </c>
      <c r="E10" s="5">
        <v>450</v>
      </c>
      <c r="F10" s="8" t="s">
        <v>32</v>
      </c>
    </row>
    <row r="11" spans="1:9" ht="30.5" customHeight="1" x14ac:dyDescent="0.35">
      <c r="A11" s="7">
        <v>46285</v>
      </c>
      <c r="B11" s="3" t="s">
        <v>12</v>
      </c>
      <c r="C11" s="3" t="s">
        <v>23</v>
      </c>
      <c r="D11" s="3" t="s">
        <v>28</v>
      </c>
      <c r="E11" s="5">
        <v>799</v>
      </c>
      <c r="F11" s="8" t="s">
        <v>32</v>
      </c>
    </row>
    <row r="12" spans="1:9" ht="30.5" customHeight="1" x14ac:dyDescent="0.35">
      <c r="A12" s="7">
        <v>46287</v>
      </c>
      <c r="B12" s="3" t="s">
        <v>11</v>
      </c>
      <c r="C12" s="3" t="s">
        <v>24</v>
      </c>
      <c r="D12" s="3" t="s">
        <v>28</v>
      </c>
      <c r="E12" s="5">
        <v>1100</v>
      </c>
      <c r="F12" s="8" t="s">
        <v>32</v>
      </c>
    </row>
    <row r="13" spans="1:9" ht="30.5" customHeight="1" x14ac:dyDescent="0.35">
      <c r="A13" s="7">
        <v>46290</v>
      </c>
      <c r="B13" s="3" t="s">
        <v>10</v>
      </c>
      <c r="C13" s="3" t="s">
        <v>25</v>
      </c>
      <c r="D13" s="3" t="s">
        <v>28</v>
      </c>
      <c r="E13" s="5">
        <v>600</v>
      </c>
      <c r="F13" s="8" t="s">
        <v>32</v>
      </c>
    </row>
    <row r="14" spans="1:9" ht="30.5" customHeight="1" x14ac:dyDescent="0.35">
      <c r="A14" s="7">
        <v>46292</v>
      </c>
      <c r="B14" s="3" t="s">
        <v>9</v>
      </c>
      <c r="C14" s="3" t="s">
        <v>14</v>
      </c>
      <c r="D14" s="3" t="s">
        <v>31</v>
      </c>
      <c r="E14" s="5">
        <v>950</v>
      </c>
      <c r="F14" s="8" t="s">
        <v>32</v>
      </c>
    </row>
    <row r="15" spans="1:9" ht="30.5" customHeight="1" x14ac:dyDescent="0.35">
      <c r="A15" s="7">
        <v>46294</v>
      </c>
      <c r="B15" s="3" t="s">
        <v>13</v>
      </c>
      <c r="C15" s="3" t="s">
        <v>26</v>
      </c>
      <c r="D15" s="3" t="s">
        <v>28</v>
      </c>
      <c r="E15" s="5">
        <v>299</v>
      </c>
      <c r="F15" s="8" t="s">
        <v>32</v>
      </c>
    </row>
    <row r="16" spans="1:9" ht="30.5" customHeight="1" x14ac:dyDescent="0.35">
      <c r="A16" s="13" t="s">
        <v>8</v>
      </c>
      <c r="B16" s="14" t="s">
        <v>12</v>
      </c>
      <c r="C16" s="14" t="s">
        <v>27</v>
      </c>
      <c r="D16" s="14" t="s">
        <v>28</v>
      </c>
      <c r="E16" s="15">
        <v>399</v>
      </c>
      <c r="F16" s="16" t="s">
        <v>32</v>
      </c>
    </row>
    <row r="17" spans="2:2" ht="30.5" customHeight="1" x14ac:dyDescent="0.35">
      <c r="B17" s="2"/>
    </row>
    <row r="18" spans="2:2" ht="30.5" customHeight="1" x14ac:dyDescent="0.35">
      <c r="B18" s="2"/>
    </row>
    <row r="19" spans="2:2" ht="30.5" customHeight="1" x14ac:dyDescent="0.35">
      <c r="B19" s="2"/>
    </row>
    <row r="20" spans="2:2" ht="30.5" customHeight="1" x14ac:dyDescent="0.35">
      <c r="B20" s="2"/>
    </row>
    <row r="21" spans="2:2" ht="30.5" customHeight="1" x14ac:dyDescent="0.35">
      <c r="B21" s="2"/>
    </row>
    <row r="22" spans="2:2" ht="30.5" customHeight="1" x14ac:dyDescent="0.35"/>
    <row r="23" spans="2:2" ht="30.5" customHeight="1" x14ac:dyDescent="0.35"/>
    <row r="24" spans="2:2" ht="30.5" customHeight="1" x14ac:dyDescent="0.35"/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8669-7EA8-4E0D-A815-E5949885B072}">
  <dimension ref="A1:E14"/>
  <sheetViews>
    <sheetView tabSelected="1" topLeftCell="C1" workbookViewId="0">
      <selection activeCell="D9" sqref="D9:E9"/>
    </sheetView>
  </sheetViews>
  <sheetFormatPr defaultRowHeight="14.5" x14ac:dyDescent="0.35"/>
  <cols>
    <col min="1" max="2" width="25.1796875" customWidth="1"/>
    <col min="4" max="4" width="28.26953125" customWidth="1"/>
    <col min="5" max="5" width="19.81640625" customWidth="1"/>
  </cols>
  <sheetData>
    <row r="1" spans="1:5" ht="18.5" x14ac:dyDescent="0.35">
      <c r="A1" s="27" t="s">
        <v>34</v>
      </c>
      <c r="B1" s="28" t="s">
        <v>33</v>
      </c>
      <c r="D1" s="22" t="s">
        <v>41</v>
      </c>
      <c r="E1" s="23" t="s">
        <v>40</v>
      </c>
    </row>
    <row r="2" spans="1:5" x14ac:dyDescent="0.35">
      <c r="A2" s="24" t="s">
        <v>35</v>
      </c>
      <c r="B2" s="25">
        <f>SUM(Table1[Amount])</f>
        <v>10897</v>
      </c>
      <c r="D2" s="24" t="s">
        <v>28</v>
      </c>
      <c r="E2" s="25">
        <f>SUMIF('Expense data'!D$2:D$16,Summary!D2,'Expense data'!E$2:E$16)</f>
        <v>7647</v>
      </c>
    </row>
    <row r="3" spans="1:5" x14ac:dyDescent="0.35">
      <c r="A3" s="24" t="s">
        <v>36</v>
      </c>
      <c r="B3" s="25">
        <f>AVERAGE(Table1[Amount])</f>
        <v>726.4666666666667</v>
      </c>
      <c r="D3" s="24" t="s">
        <v>29</v>
      </c>
      <c r="E3" s="25">
        <f>SUMIF('Expense data'!D$2:D$16,Summary!D3,'Expense data'!E$2:E$16)</f>
        <v>750</v>
      </c>
    </row>
    <row r="4" spans="1:5" x14ac:dyDescent="0.35">
      <c r="A4" s="24" t="s">
        <v>37</v>
      </c>
      <c r="B4" s="25">
        <f>MAX(Table1[Amount])</f>
        <v>1500</v>
      </c>
      <c r="D4" s="24" t="s">
        <v>30</v>
      </c>
      <c r="E4" s="25">
        <f>SUMIF('Expense data'!D$2:D$16,Summary!D4,'Expense data'!E$2:E$16)</f>
        <v>2500</v>
      </c>
    </row>
    <row r="5" spans="1:5" x14ac:dyDescent="0.35">
      <c r="A5" s="24" t="s">
        <v>38</v>
      </c>
      <c r="B5" s="25">
        <f>MIN(Table1[Amount])</f>
        <v>299</v>
      </c>
      <c r="D5" s="24"/>
      <c r="E5" s="25"/>
    </row>
    <row r="6" spans="1:5" ht="15" thickBot="1" x14ac:dyDescent="0.4">
      <c r="A6" s="26" t="s">
        <v>39</v>
      </c>
      <c r="B6" s="29">
        <f>COUNT(Table1[Amount])</f>
        <v>15</v>
      </c>
      <c r="D6" s="26" t="s">
        <v>42</v>
      </c>
      <c r="E6" s="29">
        <f>SUM(E2:E4)</f>
        <v>10897</v>
      </c>
    </row>
    <row r="8" spans="1:5" ht="15" thickBot="1" x14ac:dyDescent="0.4"/>
    <row r="9" spans="1:5" ht="18.5" x14ac:dyDescent="0.35">
      <c r="A9" s="17" t="s">
        <v>1</v>
      </c>
      <c r="B9" s="18" t="s">
        <v>40</v>
      </c>
      <c r="D9" s="34" t="s">
        <v>43</v>
      </c>
      <c r="E9" s="35" t="str">
        <f>INDEX(A10:A14,MATCH(MAX(B10:B14),B10:B14,0))</f>
        <v>Shopping</v>
      </c>
    </row>
    <row r="10" spans="1:5" x14ac:dyDescent="0.35">
      <c r="A10" s="19" t="s">
        <v>9</v>
      </c>
      <c r="B10" s="30">
        <f>SUMIF('Expense data'!B$2:B$16,Summary!A10,'Expense data'!E$2:E$16)</f>
        <v>2900</v>
      </c>
    </row>
    <row r="11" spans="1:5" ht="16" x14ac:dyDescent="0.35">
      <c r="A11" s="20" t="s">
        <v>10</v>
      </c>
      <c r="B11" s="30">
        <f>SUMIF('Expense data'!B$2:B$16,Summary!A11,'Expense data'!E$2:E$16)</f>
        <v>1400</v>
      </c>
    </row>
    <row r="12" spans="1:5" x14ac:dyDescent="0.35">
      <c r="A12" s="19" t="s">
        <v>11</v>
      </c>
      <c r="B12" s="30">
        <f>SUMIF('Expense data'!B$2:B$16,Summary!A12,'Expense data'!E$2:E$16)</f>
        <v>3500</v>
      </c>
    </row>
    <row r="13" spans="1:5" x14ac:dyDescent="0.35">
      <c r="A13" s="19" t="s">
        <v>12</v>
      </c>
      <c r="B13" s="30">
        <f>SUMIF('Expense data'!B$2:B$16,Summary!A13,'Expense data'!E$2:E$16)</f>
        <v>2398</v>
      </c>
    </row>
    <row r="14" spans="1:5" ht="15" thickBot="1" x14ac:dyDescent="0.4">
      <c r="A14" s="21" t="s">
        <v>13</v>
      </c>
      <c r="B14" s="31">
        <f>SUMIF('Expense data'!B$2:B$16,Summary!A14,'Expense data'!E$2:E$16)</f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Expense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2026-09-09T11:05:33Z</dcterms:created>
  <dcterms:modified xsi:type="dcterms:W3CDTF">2026-09-09T12:31:36Z</dcterms:modified>
</cp:coreProperties>
</file>