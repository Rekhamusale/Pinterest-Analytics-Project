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10_Common_Functions/"/>
    </mc:Choice>
  </mc:AlternateContent>
  <xr:revisionPtr revIDLastSave="193" documentId="8_{6D91B4D7-D278-463B-80CA-DBEE105E818F}" xr6:coauthVersionLast="47" xr6:coauthVersionMax="47" xr10:uidLastSave="{F8E3041B-8B25-4D20-89F5-90DFB1A527D8}"/>
  <bookViews>
    <workbookView xWindow="-110" yWindow="-110" windowWidth="19420" windowHeight="10300" firstSheet="1" activeTab="1" xr2:uid="{ECECE12D-2969-4AA8-9B1E-EC68E3C88D6B}"/>
  </bookViews>
  <sheets>
    <sheet name="README" sheetId="1" r:id="rId1"/>
    <sheet name="Functions_practice" sheetId="2" r:id="rId2"/>
    <sheet name="Pinterest_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H2" i="2"/>
  <c r="D3" i="3"/>
  <c r="D4" i="3"/>
  <c r="D5" i="3"/>
  <c r="D6" i="3"/>
  <c r="D7" i="3"/>
  <c r="D2" i="3"/>
  <c r="B3" i="3"/>
  <c r="B4" i="3"/>
  <c r="B5" i="3"/>
  <c r="B6" i="3"/>
  <c r="B7" i="3"/>
  <c r="C3" i="3"/>
  <c r="C4" i="3"/>
  <c r="C5" i="3"/>
  <c r="C6" i="3"/>
  <c r="C7" i="3"/>
  <c r="C2" i="3"/>
  <c r="B2" i="3"/>
  <c r="E19" i="2"/>
  <c r="E17" i="2"/>
  <c r="J10" i="2"/>
  <c r="J9" i="2"/>
  <c r="J6" i="2"/>
  <c r="J2" i="2"/>
  <c r="H13" i="2"/>
  <c r="H10" i="2"/>
  <c r="H7" i="2"/>
</calcChain>
</file>

<file path=xl/sharedStrings.xml><?xml version="1.0" encoding="utf-8"?>
<sst xmlns="http://schemas.openxmlformats.org/spreadsheetml/2006/main" count="55" uniqueCount="41">
  <si>
    <t>Product</t>
  </si>
  <si>
    <t>Category</t>
  </si>
  <si>
    <t>Price</t>
  </si>
  <si>
    <t>Quantity</t>
  </si>
  <si>
    <t>Leak-Proof Tiffin Box</t>
  </si>
  <si>
    <t>Lunch Box</t>
  </si>
  <si>
    <t>Storage Containers</t>
  </si>
  <si>
    <t>Storage</t>
  </si>
  <si>
    <t>Wooden Knife Holder</t>
  </si>
  <si>
    <t>Wooden Spice Box</t>
  </si>
  <si>
    <t>Kids Lunch Box</t>
  </si>
  <si>
    <t>Makeup Organizer</t>
  </si>
  <si>
    <t>beauty</t>
  </si>
  <si>
    <t>Home Gadget</t>
  </si>
  <si>
    <t>Sling Bag</t>
  </si>
  <si>
    <t>Handbag</t>
  </si>
  <si>
    <t>Wall Organizer</t>
  </si>
  <si>
    <t>Kitchen Organizer</t>
  </si>
  <si>
    <t>Discount%</t>
  </si>
  <si>
    <t>Tax%</t>
  </si>
  <si>
    <t>Total Quantity</t>
  </si>
  <si>
    <t>Average Price</t>
  </si>
  <si>
    <t>Highest Price</t>
  </si>
  <si>
    <t>Lowest Price</t>
  </si>
  <si>
    <t>no.of prices</t>
  </si>
  <si>
    <t>counta</t>
  </si>
  <si>
    <t>This counts empty cells also</t>
  </si>
  <si>
    <t>This count only the cells which contain numbers</t>
  </si>
  <si>
    <t>Count if</t>
  </si>
  <si>
    <t>this shows which meets the given condition</t>
  </si>
  <si>
    <t>sum if</t>
  </si>
  <si>
    <t>this adds only the condition we have give to check or add</t>
  </si>
  <si>
    <t xml:space="preserve">this is adding only this price of kitchen products </t>
  </si>
  <si>
    <t>price</t>
  </si>
  <si>
    <t>This is telling how many no.of products are there</t>
  </si>
  <si>
    <t>average if</t>
  </si>
  <si>
    <t>this is telling average pice in kitchen products</t>
  </si>
  <si>
    <t>Product Count</t>
  </si>
  <si>
    <t xml:space="preserve">Kitchen </t>
  </si>
  <si>
    <t>Home gadget</t>
  </si>
  <si>
    <t xml:space="preserve">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</si>
</sst>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3" borderId="4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1" fillId="6" borderId="1" xfId="0" applyFont="1" applyFill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64" fontId="1" fillId="6" borderId="7" xfId="0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0" fontId="1" fillId="8" borderId="10" xfId="0" applyNumberFormat="1" applyFont="1" applyFill="1" applyBorder="1" applyAlignment="1">
      <alignment horizontal="center" vertical="center"/>
    </xf>
    <xf numFmtId="10" fontId="1" fillId="8" borderId="11" xfId="0" applyNumberFormat="1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2" fontId="0" fillId="0" borderId="2" xfId="0" applyNumberFormat="1" applyBorder="1"/>
    <xf numFmtId="10" fontId="0" fillId="0" borderId="2" xfId="0" applyNumberFormat="1" applyBorder="1"/>
    <xf numFmtId="10" fontId="0" fillId="0" borderId="7" xfId="0" applyNumberFormat="1" applyBorder="1"/>
    <xf numFmtId="164" fontId="0" fillId="0" borderId="5" xfId="0" applyNumberFormat="1" applyBorder="1" applyAlignment="1">
      <alignment horizontal="center"/>
    </xf>
    <xf numFmtId="2" fontId="0" fillId="0" borderId="6" xfId="0" applyNumberFormat="1" applyBorder="1"/>
    <xf numFmtId="10" fontId="0" fillId="5" borderId="6" xfId="0" applyNumberFormat="1" applyFill="1" applyBorder="1" applyAlignment="1">
      <alignment horizontal="center"/>
    </xf>
    <xf numFmtId="10" fontId="0" fillId="5" borderId="9" xfId="0" applyNumberForma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10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A998-E6D9-4590-8E00-40158D417D6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FEE3-73C1-4AAA-96E5-22D494734B80}">
  <dimension ref="A1:P22"/>
  <sheetViews>
    <sheetView tabSelected="1" zoomScale="60" workbookViewId="0">
      <selection activeCell="J29" sqref="J29"/>
    </sheetView>
  </sheetViews>
  <sheetFormatPr defaultRowHeight="14.5" x14ac:dyDescent="0.35"/>
  <cols>
    <col min="1" max="2" width="19.81640625" customWidth="1"/>
    <col min="3" max="3" width="19.81640625" style="3" customWidth="1"/>
    <col min="4" max="4" width="19.81640625" style="4" customWidth="1"/>
    <col min="5" max="6" width="19.81640625" style="15" customWidth="1"/>
    <col min="8" max="8" width="20.1796875" customWidth="1"/>
    <col min="10" max="10" width="12.453125" customWidth="1"/>
  </cols>
  <sheetData>
    <row r="1" spans="1:16" x14ac:dyDescent="0.35">
      <c r="A1" s="2" t="s">
        <v>0</v>
      </c>
      <c r="B1" s="2" t="s">
        <v>1</v>
      </c>
      <c r="C1" s="49" t="s">
        <v>2</v>
      </c>
      <c r="D1" s="50" t="s">
        <v>3</v>
      </c>
      <c r="E1" s="51" t="s">
        <v>18</v>
      </c>
      <c r="F1" s="51" t="s">
        <v>19</v>
      </c>
      <c r="G1" s="16"/>
      <c r="H1" s="37" t="s">
        <v>20</v>
      </c>
      <c r="I1" s="16"/>
      <c r="J1" s="2" t="s">
        <v>24</v>
      </c>
      <c r="K1" s="46" t="s">
        <v>27</v>
      </c>
      <c r="L1" s="46"/>
      <c r="M1" s="46"/>
      <c r="N1" s="46"/>
      <c r="O1" s="47"/>
      <c r="P1" s="16"/>
    </row>
    <row r="2" spans="1:16" ht="15" thickBot="1" x14ac:dyDescent="0.4">
      <c r="A2" s="1" t="s">
        <v>4</v>
      </c>
      <c r="B2" s="1" t="s">
        <v>5</v>
      </c>
      <c r="C2" s="12">
        <v>399</v>
      </c>
      <c r="D2" s="13">
        <v>2</v>
      </c>
      <c r="E2" s="14">
        <v>0.1</v>
      </c>
      <c r="F2" s="14">
        <v>0.18</v>
      </c>
      <c r="G2" s="16"/>
      <c r="H2" s="38">
        <f>SUM(D2:D12)</f>
        <v>17</v>
      </c>
      <c r="I2" s="16"/>
      <c r="J2" s="48">
        <f>COUNT(C:C)</f>
        <v>10</v>
      </c>
      <c r="K2" s="44"/>
      <c r="L2" s="44"/>
      <c r="M2" s="44"/>
      <c r="N2" s="44"/>
      <c r="O2" s="45"/>
      <c r="P2" s="16"/>
    </row>
    <row r="3" spans="1:16" x14ac:dyDescent="0.35">
      <c r="A3" s="1" t="s">
        <v>6</v>
      </c>
      <c r="B3" s="1" t="s">
        <v>7</v>
      </c>
      <c r="C3" s="12">
        <v>1999</v>
      </c>
      <c r="D3" s="13">
        <v>1</v>
      </c>
      <c r="E3" s="14">
        <v>0.1</v>
      </c>
      <c r="F3" s="14">
        <v>0.18</v>
      </c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15" thickBot="1" x14ac:dyDescent="0.4">
      <c r="A4" s="1" t="s">
        <v>8</v>
      </c>
      <c r="B4" s="1" t="s">
        <v>38</v>
      </c>
      <c r="C4" s="12">
        <v>699</v>
      </c>
      <c r="D4" s="13">
        <v>2</v>
      </c>
      <c r="E4" s="14">
        <v>0.1</v>
      </c>
      <c r="F4" s="14">
        <v>0.18</v>
      </c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5" thickBot="1" x14ac:dyDescent="0.4">
      <c r="A5" s="1"/>
      <c r="B5" s="1"/>
      <c r="C5" s="12"/>
      <c r="D5" s="13"/>
      <c r="E5" s="14"/>
      <c r="F5" s="14"/>
      <c r="G5" s="16"/>
      <c r="H5" s="16"/>
      <c r="I5" s="16"/>
      <c r="J5" s="39" t="s">
        <v>25</v>
      </c>
      <c r="K5" s="23" t="s">
        <v>26</v>
      </c>
      <c r="L5" s="23"/>
      <c r="M5" s="24"/>
      <c r="N5" s="16"/>
      <c r="O5" s="16"/>
      <c r="P5" s="16"/>
    </row>
    <row r="6" spans="1:16" ht="15" thickBot="1" x14ac:dyDescent="0.4">
      <c r="A6" s="1" t="s">
        <v>9</v>
      </c>
      <c r="B6" s="1" t="s">
        <v>38</v>
      </c>
      <c r="C6" s="12">
        <v>599</v>
      </c>
      <c r="D6" s="13">
        <v>3</v>
      </c>
      <c r="E6" s="14">
        <v>0.1</v>
      </c>
      <c r="F6" s="14">
        <v>0.18</v>
      </c>
      <c r="G6" s="16"/>
      <c r="H6" s="39" t="s">
        <v>21</v>
      </c>
      <c r="I6" s="16"/>
      <c r="J6" s="41">
        <f>COUNTA(C:C)</f>
        <v>13</v>
      </c>
      <c r="K6" s="42"/>
      <c r="L6" s="42"/>
      <c r="M6" s="43"/>
      <c r="N6" s="16"/>
      <c r="O6" s="16"/>
      <c r="P6" s="16"/>
    </row>
    <row r="7" spans="1:16" ht="15" thickBot="1" x14ac:dyDescent="0.4">
      <c r="A7" s="1" t="s">
        <v>10</v>
      </c>
      <c r="B7" s="1" t="s">
        <v>5</v>
      </c>
      <c r="C7" s="12">
        <v>499</v>
      </c>
      <c r="D7" s="13">
        <v>2</v>
      </c>
      <c r="E7" s="14">
        <v>0.1</v>
      </c>
      <c r="F7" s="14">
        <v>0.18</v>
      </c>
      <c r="G7" s="16"/>
      <c r="H7" s="40">
        <f>AVERAGE(C:C)</f>
        <v>989</v>
      </c>
      <c r="I7" s="16"/>
      <c r="J7" s="16"/>
      <c r="K7" s="16"/>
      <c r="L7" s="16"/>
      <c r="M7" s="16"/>
      <c r="N7" s="16"/>
      <c r="O7" s="16"/>
      <c r="P7" s="16"/>
    </row>
    <row r="8" spans="1:16" ht="15" thickBot="1" x14ac:dyDescent="0.4">
      <c r="A8" s="1" t="s">
        <v>11</v>
      </c>
      <c r="B8" s="1" t="s">
        <v>12</v>
      </c>
      <c r="C8" s="12">
        <v>799</v>
      </c>
      <c r="D8" s="13">
        <v>1</v>
      </c>
      <c r="E8" s="14">
        <v>0.1</v>
      </c>
      <c r="F8" s="14">
        <v>0.18</v>
      </c>
      <c r="G8" s="16"/>
      <c r="H8" s="16"/>
      <c r="I8" s="16"/>
      <c r="J8" s="39" t="s">
        <v>28</v>
      </c>
      <c r="K8" s="22"/>
      <c r="L8" s="22"/>
      <c r="M8" s="22"/>
      <c r="N8" s="22"/>
      <c r="O8" s="16"/>
      <c r="P8" s="16"/>
    </row>
    <row r="9" spans="1:16" x14ac:dyDescent="0.35">
      <c r="A9" s="1" t="s">
        <v>13</v>
      </c>
      <c r="B9" s="1" t="s">
        <v>13</v>
      </c>
      <c r="C9" s="12">
        <v>1299</v>
      </c>
      <c r="D9" s="13">
        <v>2</v>
      </c>
      <c r="E9" s="14">
        <v>0.1</v>
      </c>
      <c r="F9" s="14">
        <v>0.18</v>
      </c>
      <c r="G9" s="16"/>
      <c r="H9" s="39" t="s">
        <v>22</v>
      </c>
      <c r="I9" s="16"/>
      <c r="J9" s="22">
        <f>COUNTIF(B:B,"Handbag")</f>
        <v>1</v>
      </c>
      <c r="K9" s="20" t="s">
        <v>29</v>
      </c>
      <c r="L9" s="20"/>
      <c r="M9" s="20"/>
      <c r="N9" s="20"/>
      <c r="O9" s="16"/>
      <c r="P9" s="16"/>
    </row>
    <row r="10" spans="1:16" x14ac:dyDescent="0.35">
      <c r="A10" s="1" t="s">
        <v>14</v>
      </c>
      <c r="B10" s="1" t="s">
        <v>15</v>
      </c>
      <c r="C10" s="12">
        <v>999</v>
      </c>
      <c r="D10" s="13">
        <v>1</v>
      </c>
      <c r="E10" s="14">
        <v>0.1</v>
      </c>
      <c r="F10" s="14">
        <v>0.18</v>
      </c>
      <c r="G10" s="16"/>
      <c r="H10" s="48">
        <f>MAX(C:C)</f>
        <v>1999</v>
      </c>
      <c r="I10" s="16"/>
      <c r="J10" s="22">
        <f>COUNTIF(B:B,"Red")</f>
        <v>0</v>
      </c>
      <c r="K10" s="22"/>
      <c r="L10" s="22"/>
      <c r="M10" s="22"/>
      <c r="N10" s="22"/>
      <c r="O10" s="16"/>
      <c r="P10" s="16"/>
    </row>
    <row r="11" spans="1:16" ht="15" thickBot="1" x14ac:dyDescent="0.4">
      <c r="A11" s="1" t="s">
        <v>16</v>
      </c>
      <c r="B11" s="1" t="s">
        <v>7</v>
      </c>
      <c r="C11" s="12">
        <v>1499</v>
      </c>
      <c r="D11" s="13">
        <v>1</v>
      </c>
      <c r="E11" s="14">
        <v>0.1</v>
      </c>
      <c r="F11" s="14">
        <v>0.18</v>
      </c>
      <c r="G11" s="16"/>
      <c r="H11" s="22"/>
      <c r="I11" s="16"/>
      <c r="J11" s="16"/>
      <c r="K11" s="16"/>
      <c r="L11" s="16"/>
      <c r="M11" s="16"/>
      <c r="N11" s="16"/>
      <c r="O11" s="16"/>
      <c r="P11" s="16"/>
    </row>
    <row r="12" spans="1:16" x14ac:dyDescent="0.35">
      <c r="A12" s="1" t="s">
        <v>17</v>
      </c>
      <c r="B12" s="1" t="s">
        <v>38</v>
      </c>
      <c r="C12" s="12">
        <v>1099</v>
      </c>
      <c r="D12" s="13">
        <v>2</v>
      </c>
      <c r="E12" s="14">
        <v>0.1</v>
      </c>
      <c r="F12" s="14">
        <v>0.18</v>
      </c>
      <c r="G12" s="16"/>
      <c r="H12" s="39" t="s">
        <v>23</v>
      </c>
      <c r="I12" s="16"/>
      <c r="J12" s="16"/>
      <c r="K12" s="16"/>
      <c r="L12" s="16"/>
      <c r="M12" s="16"/>
      <c r="N12" s="16"/>
      <c r="O12" s="16"/>
      <c r="P12" s="16"/>
    </row>
    <row r="13" spans="1:16" x14ac:dyDescent="0.35">
      <c r="B13" s="16"/>
      <c r="C13" s="18"/>
      <c r="D13" s="17"/>
      <c r="E13" s="19"/>
      <c r="F13" s="19"/>
      <c r="G13" s="16"/>
      <c r="H13" s="48">
        <f>MIN(C:C)</f>
        <v>399</v>
      </c>
      <c r="I13" s="16"/>
      <c r="J13" s="16"/>
      <c r="K13" s="16"/>
      <c r="L13" s="16"/>
      <c r="M13" s="16"/>
      <c r="N13" s="16"/>
      <c r="O13" s="16"/>
      <c r="P13" s="16"/>
    </row>
    <row r="14" spans="1:16" x14ac:dyDescent="0.35">
      <c r="B14" s="16"/>
      <c r="C14" s="18"/>
      <c r="D14" s="17"/>
      <c r="E14" s="19"/>
      <c r="F14" s="19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x14ac:dyDescent="0.35">
      <c r="B15" s="16"/>
      <c r="C15" s="18"/>
      <c r="D15" s="26" t="s">
        <v>30</v>
      </c>
      <c r="E15" s="27"/>
      <c r="F15" s="20" t="s">
        <v>31</v>
      </c>
      <c r="G15" s="20"/>
      <c r="H15" s="20"/>
      <c r="I15" s="16"/>
      <c r="J15" s="16"/>
      <c r="K15" s="16"/>
      <c r="L15" s="16"/>
      <c r="M15" s="16"/>
      <c r="N15" s="16"/>
      <c r="O15" s="16"/>
      <c r="P15" s="16"/>
    </row>
    <row r="16" spans="1:16" x14ac:dyDescent="0.35">
      <c r="B16" s="36"/>
      <c r="C16" s="18"/>
      <c r="D16" s="25"/>
      <c r="E16" s="21"/>
      <c r="F16" s="21"/>
      <c r="G16" s="22"/>
      <c r="H16" s="22"/>
      <c r="I16" s="16"/>
      <c r="J16" s="16"/>
      <c r="K16" s="16"/>
      <c r="L16" s="16"/>
      <c r="M16" s="16"/>
      <c r="N16" s="16"/>
      <c r="O16" s="16"/>
      <c r="P16" s="16"/>
    </row>
    <row r="17" spans="2:16" x14ac:dyDescent="0.35">
      <c r="B17" s="16"/>
      <c r="C17" s="18"/>
      <c r="D17" s="25" t="s">
        <v>33</v>
      </c>
      <c r="E17" s="21">
        <f>SUMIF(B:B,"kitchen",C:C)</f>
        <v>0</v>
      </c>
      <c r="F17" s="20" t="s">
        <v>32</v>
      </c>
      <c r="G17" s="20"/>
      <c r="H17" s="20"/>
      <c r="I17" s="16"/>
      <c r="J17" s="16"/>
      <c r="K17" s="16"/>
      <c r="L17" s="16"/>
      <c r="M17" s="16"/>
      <c r="N17" s="16"/>
      <c r="O17" s="16"/>
      <c r="P17" s="16"/>
    </row>
    <row r="18" spans="2:16" x14ac:dyDescent="0.35">
      <c r="B18" s="16"/>
      <c r="C18" s="18"/>
      <c r="D18" s="25"/>
      <c r="E18" s="21"/>
      <c r="F18" s="21"/>
      <c r="G18" s="22"/>
      <c r="H18" s="22"/>
      <c r="I18" s="16"/>
      <c r="J18" s="16"/>
      <c r="K18" s="16"/>
      <c r="L18" s="16"/>
      <c r="M18" s="16"/>
      <c r="N18" s="16"/>
      <c r="O18" s="16"/>
      <c r="P18" s="16"/>
    </row>
    <row r="19" spans="2:16" x14ac:dyDescent="0.35">
      <c r="B19" s="16"/>
      <c r="C19" s="18"/>
      <c r="D19" s="25" t="s">
        <v>3</v>
      </c>
      <c r="E19" s="21">
        <f>SUMIF(B:B,"kitchen",D:D)</f>
        <v>0</v>
      </c>
      <c r="F19" s="20" t="s">
        <v>34</v>
      </c>
      <c r="G19" s="20"/>
      <c r="H19" s="20"/>
      <c r="I19" s="16"/>
      <c r="J19" s="16"/>
      <c r="K19" s="16"/>
      <c r="L19" s="16"/>
      <c r="M19" s="16"/>
      <c r="N19" s="16"/>
      <c r="O19" s="16"/>
      <c r="P19" s="16"/>
    </row>
    <row r="20" spans="2:16" ht="15" thickBot="1" x14ac:dyDescent="0.4">
      <c r="B20" s="16"/>
      <c r="C20" s="18"/>
      <c r="D20" s="17"/>
      <c r="E20" s="19"/>
      <c r="F20" s="19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2:16" x14ac:dyDescent="0.35">
      <c r="C21" s="28" t="s">
        <v>35</v>
      </c>
      <c r="D21" s="29"/>
      <c r="E21" s="30"/>
      <c r="F21" s="31"/>
    </row>
    <row r="22" spans="2:16" ht="15" thickBot="1" x14ac:dyDescent="0.4">
      <c r="C22" s="32" t="s">
        <v>40</v>
      </c>
      <c r="D22" s="33">
        <f>AVERAGEIF(B2:B12,"Storage",C2:C12)</f>
        <v>1749</v>
      </c>
      <c r="E22" s="34" t="s">
        <v>36</v>
      </c>
      <c r="F22" s="35"/>
    </row>
  </sheetData>
  <mergeCells count="8">
    <mergeCell ref="E22:F22"/>
    <mergeCell ref="D15:E15"/>
    <mergeCell ref="K1:O1"/>
    <mergeCell ref="K5:M5"/>
    <mergeCell ref="K9:N9"/>
    <mergeCell ref="F15:H15"/>
    <mergeCell ref="F17:H17"/>
    <mergeCell ref="F19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C057-0848-41CF-8E95-B3ECE593F277}">
  <dimension ref="A1:D7"/>
  <sheetViews>
    <sheetView workbookViewId="0">
      <selection activeCell="E16" sqref="E16"/>
    </sheetView>
  </sheetViews>
  <sheetFormatPr defaultRowHeight="14.5" x14ac:dyDescent="0.35"/>
  <cols>
    <col min="1" max="1" width="13.36328125" customWidth="1"/>
    <col min="2" max="3" width="13.36328125" style="4" customWidth="1"/>
    <col min="4" max="4" width="13.36328125" style="3" customWidth="1"/>
  </cols>
  <sheetData>
    <row r="1" spans="1:4" x14ac:dyDescent="0.35">
      <c r="A1" s="5" t="s">
        <v>1</v>
      </c>
      <c r="B1" s="6" t="s">
        <v>37</v>
      </c>
      <c r="C1" s="6" t="s">
        <v>20</v>
      </c>
      <c r="D1" s="7" t="s">
        <v>21</v>
      </c>
    </row>
    <row r="2" spans="1:4" x14ac:dyDescent="0.35">
      <c r="A2" s="8" t="s">
        <v>38</v>
      </c>
      <c r="B2" s="9">
        <f>COUNTIF(Functions_practice!B2:B12,Pinterest_Analysis!A2)</f>
        <v>3</v>
      </c>
      <c r="C2" s="9">
        <f>SUMIF(Functions_practice!B:B,Pinterest_Analysis!A2,Functions_practice!D:D)</f>
        <v>7</v>
      </c>
      <c r="D2" s="10">
        <f>AVERAGEIF(Functions_practice!B2:B11,A2,Functions_practice!C2:C11)</f>
        <v>649</v>
      </c>
    </row>
    <row r="3" spans="1:4" x14ac:dyDescent="0.35">
      <c r="A3" s="8" t="s">
        <v>5</v>
      </c>
      <c r="B3" s="9">
        <f>COUNTIF(Functions_practice!B3:B13,Pinterest_Analysis!A3)</f>
        <v>1</v>
      </c>
      <c r="C3" s="9">
        <f>SUMIF(Functions_practice!B:B,Pinterest_Analysis!A3,Functions_practice!D:D)</f>
        <v>4</v>
      </c>
      <c r="D3" s="10">
        <f>AVERAGEIF(Functions_practice!B3:B12,A3,Functions_practice!C3:C12)</f>
        <v>499</v>
      </c>
    </row>
    <row r="4" spans="1:4" x14ac:dyDescent="0.35">
      <c r="A4" s="8" t="s">
        <v>7</v>
      </c>
      <c r="B4" s="9">
        <f>COUNTIF(Functions_practice!B4:B14,Pinterest_Analysis!A4)</f>
        <v>1</v>
      </c>
      <c r="C4" s="9">
        <f>SUMIF(Functions_practice!B:B,Pinterest_Analysis!A4,Functions_practice!D:D)</f>
        <v>2</v>
      </c>
      <c r="D4" s="10">
        <f>AVERAGEIF(Functions_practice!B4:B13,A4,Functions_practice!C4:C13)</f>
        <v>1499</v>
      </c>
    </row>
    <row r="5" spans="1:4" x14ac:dyDescent="0.35">
      <c r="A5" s="8" t="s">
        <v>12</v>
      </c>
      <c r="B5" s="9">
        <f>COUNTIF(Functions_practice!B5:B15,Pinterest_Analysis!A5)</f>
        <v>1</v>
      </c>
      <c r="C5" s="9">
        <f>SUMIF(Functions_practice!B:B,Pinterest_Analysis!A5,Functions_practice!D:D)</f>
        <v>1</v>
      </c>
      <c r="D5" s="10">
        <f>AVERAGEIF(Functions_practice!B5:B14,A5,Functions_practice!C5:C14)</f>
        <v>799</v>
      </c>
    </row>
    <row r="6" spans="1:4" x14ac:dyDescent="0.35">
      <c r="A6" s="8" t="s">
        <v>15</v>
      </c>
      <c r="B6" s="9">
        <f>COUNTIF(Functions_practice!B6:B16,Pinterest_Analysis!A6)</f>
        <v>1</v>
      </c>
      <c r="C6" s="9">
        <f>SUMIF(Functions_practice!B:B,Pinterest_Analysis!A6,Functions_practice!D:D)</f>
        <v>1</v>
      </c>
      <c r="D6" s="10">
        <f>AVERAGEIF(Functions_practice!B6:B15,A6,Functions_practice!C6:C15)</f>
        <v>999</v>
      </c>
    </row>
    <row r="7" spans="1:4" ht="15" thickBot="1" x14ac:dyDescent="0.4">
      <c r="A7" s="11" t="s">
        <v>39</v>
      </c>
      <c r="B7" s="9">
        <f>COUNTIF(Functions_practice!B7:B17,Pinterest_Analysis!A7)</f>
        <v>1</v>
      </c>
      <c r="C7" s="9">
        <f>SUMIF(Functions_practice!B:B,Pinterest_Analysis!A7,Functions_practice!D:D)</f>
        <v>2</v>
      </c>
      <c r="D7" s="10">
        <f>AVERAGEIF(Functions_practice!B7:B16,A7,Functions_practice!C7:C16)</f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Functions_practice</vt:lpstr>
      <vt:lpstr>Pinterest_Analysis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2026-09-09T10:05:57Z</dcterms:created>
  <dcterms:modified xsi:type="dcterms:W3CDTF">2026-09-09T10:59:14Z</dcterms:modified>
</cp:coreProperties>
</file>