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ea116efc88aa0e/Desktop/Pinterest-Analytics-Project/Excel/practice test 1/"/>
    </mc:Choice>
  </mc:AlternateContent>
  <xr:revisionPtr revIDLastSave="269" documentId="8_{D6E0D64C-3576-462C-AB88-4F773BCEF4E9}" xr6:coauthVersionLast="47" xr6:coauthVersionMax="47" xr10:uidLastSave="{2501D3BB-856F-4232-AB4F-91E3210071B4}"/>
  <bookViews>
    <workbookView xWindow="-110" yWindow="-110" windowWidth="19420" windowHeight="10300" activeTab="5" xr2:uid="{B9DA84D6-CE3E-4A40-ACA0-79EA2B494EC2}"/>
  </bookViews>
  <sheets>
    <sheet name="README" sheetId="2" r:id="rId1"/>
    <sheet name="Raw_Data" sheetId="3" r:id="rId2"/>
    <sheet name="Cleaned_Data" sheetId="4" r:id="rId3"/>
    <sheet name="Calculation" sheetId="5" r:id="rId4"/>
    <sheet name="KPI_Analysis" sheetId="6" r:id="rId5"/>
    <sheet name="Dashboard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7" l="1"/>
  <c r="B22" i="7"/>
  <c r="B21" i="7"/>
  <c r="B10" i="7"/>
  <c r="B9" i="7"/>
  <c r="B8" i="7"/>
  <c r="B7" i="7"/>
  <c r="B6" i="7"/>
  <c r="B5" i="7"/>
  <c r="B4" i="7"/>
  <c r="B3" i="7"/>
  <c r="E6" i="6"/>
  <c r="E3" i="6"/>
  <c r="E2" i="6"/>
  <c r="E7" i="6"/>
  <c r="E4" i="6"/>
  <c r="B10" i="6"/>
  <c r="B9" i="6"/>
  <c r="B8" i="6"/>
  <c r="B7" i="6"/>
  <c r="B6" i="6"/>
  <c r="B5" i="6"/>
  <c r="B4" i="6"/>
  <c r="B3" i="6"/>
  <c r="B2" i="6"/>
  <c r="B10" i="5"/>
  <c r="B11" i="5"/>
  <c r="B13" i="5"/>
  <c r="B12" i="5"/>
  <c r="B9" i="5"/>
  <c r="B8" i="5"/>
  <c r="B7" i="5"/>
  <c r="B6" i="5"/>
  <c r="B5" i="5"/>
  <c r="B4" i="5"/>
  <c r="B3" i="5"/>
  <c r="B2" i="5"/>
</calcChain>
</file>

<file path=xl/sharedStrings.xml><?xml version="1.0" encoding="utf-8"?>
<sst xmlns="http://schemas.openxmlformats.org/spreadsheetml/2006/main" count="116" uniqueCount="70">
  <si>
    <t>https://www.pinterest.com/MoMsTeensAndWomenFinding/kitchen-organization-ideas/</t>
  </si>
  <si>
    <t>https://www.pinterest.com/MoMsTeensAndWomenFinding/lunch-boxes-lunch-bags/</t>
  </si>
  <si>
    <t>https://www.pinterest.com/MoMsTeensAndWomenFinding/womens-fashion-everyday-style/</t>
  </si>
  <si>
    <t>https://www.pinterest.com/MoMsTeensAndWomenFinding/home-decor-room-makeover-ideas/</t>
  </si>
  <si>
    <t>https://www.pinterest.com/MoMsTeensAndWomenFinding/back-to-school-essentials/</t>
  </si>
  <si>
    <t>https://www.pinterest.com/MoMsTeensAndWomenFinding/smart-home-gadgets-useful-finds/</t>
  </si>
  <si>
    <t>https://www.pinterest.com/MoMsTeensAndWomenFinding/jewellery-accessories/</t>
  </si>
  <si>
    <t>https://www.pinterest.com/MoMsTeensAndWomenFinding/lighting-home-decor-ideas/</t>
  </si>
  <si>
    <t>https://www.pinterest.com/MoMsTeensAndWomenFinding/handbags-everyday-essentials/</t>
  </si>
  <si>
    <t>https://www.pinterest.com/MoMsTeensAndWomenFinding/beauty-organization-storage/</t>
  </si>
  <si>
    <t>https://www.pinterest.com/MoMsTeensAndWomenFinding/home-essentials/</t>
  </si>
  <si>
    <t>https://www.pinterest.com/MoMsTeensAndWomenFinding/work-from-home-study-desk-ideas/</t>
  </si>
  <si>
    <t>https://www.pinterest.com/MoMsTeensAndWomenFinding/travel-essentials-organization/</t>
  </si>
  <si>
    <t>https://www.pinterest.com/MoMsTeensAndWomenFinding/home-organization-storage-ideas/</t>
  </si>
  <si>
    <t>https://www.pinterest.com/MoMsTeensAndWomenFinding/makeup-beauty-finds/</t>
  </si>
  <si>
    <t>https://www.pinterest.com/MoMsTeensAndWomenFinding/storage-space-saving-solutions/</t>
  </si>
  <si>
    <t>https://www.pinterest.com/MoMsTeensAndWomenFinding/gifts-for-women-self-care-ideas/</t>
  </si>
  <si>
    <t>https://www.pinterest.com/MoMsTeensAndWomenFinding/jewelry-accessories/</t>
  </si>
  <si>
    <t>https://www.pinterest.com/MoMsTeensAndWomenFinding/useful-kitchen-gadgets-tools/</t>
  </si>
  <si>
    <t>https://www.pinterest.com/MoMsTeensAndWomenFinding/school-bags-backpacks/</t>
  </si>
  <si>
    <t>Pinterest</t>
  </si>
  <si>
    <t>Impressions</t>
  </si>
  <si>
    <t>Engagements</t>
  </si>
  <si>
    <t>Pin Clicks</t>
  </si>
  <si>
    <t>Outbound Clicks</t>
  </si>
  <si>
    <t>saves</t>
  </si>
  <si>
    <t>erre</t>
  </si>
  <si>
    <t>Engagement</t>
  </si>
  <si>
    <t>Out Bound Clicks</t>
  </si>
  <si>
    <t>Saves</t>
  </si>
  <si>
    <t>Metric</t>
  </si>
  <si>
    <t>Result</t>
  </si>
  <si>
    <t>Total Impressions</t>
  </si>
  <si>
    <t>Total Engagement</t>
  </si>
  <si>
    <t>Total Pin Clicks</t>
  </si>
  <si>
    <t>Total Outbound Clicks</t>
  </si>
  <si>
    <t>Total Saves</t>
  </si>
  <si>
    <t>Average Impressions</t>
  </si>
  <si>
    <t>Maximum Impressions</t>
  </si>
  <si>
    <t>Minimum Impressions</t>
  </si>
  <si>
    <t>Number of Pins</t>
  </si>
  <si>
    <t>Engagement Rate</t>
  </si>
  <si>
    <t>PinClick Rate</t>
  </si>
  <si>
    <t>Outbound Click Rate</t>
  </si>
  <si>
    <t>KPI</t>
  </si>
  <si>
    <t>Pin Click Rate</t>
  </si>
  <si>
    <t>Highest Impressions</t>
  </si>
  <si>
    <t>Question</t>
  </si>
  <si>
    <t>Answer</t>
  </si>
  <si>
    <t>1. Which pin received the highest impressions?</t>
  </si>
  <si>
    <t>2. What is the total number of impressions?</t>
  </si>
  <si>
    <t>3. What is the engagement rate?</t>
  </si>
  <si>
    <t>4. Are there any outbound clicks?</t>
  </si>
  <si>
    <t>5. How many pins were analyzed?</t>
  </si>
  <si>
    <t>6. What is the average impressions per pin?</t>
  </si>
  <si>
    <t>7. What does the 0% outbound click rate indicate?</t>
  </si>
  <si>
    <t>no</t>
  </si>
  <si>
    <t>none of the 289 pins resulted in out bound clicks till now</t>
  </si>
  <si>
    <t>Top 5 Pins</t>
  </si>
  <si>
    <t>Pinterest Analytics — Practice Test 1</t>
  </si>
  <si>
    <t>Values</t>
  </si>
  <si>
    <t>Interpretation</t>
  </si>
  <si>
    <t>Finding</t>
  </si>
  <si>
    <t>Highest impressions</t>
  </si>
  <si>
    <t>One pin reached 96 impressions</t>
  </si>
  <si>
    <t>Average impressions</t>
  </si>
  <si>
    <t>14.68 impressions per pin</t>
  </si>
  <si>
    <t>Engagement rate</t>
  </si>
  <si>
    <t>Outbound clicks</t>
  </si>
  <si>
    <t>Pins analyzed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</si>
</sst>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5" borderId="8" xfId="0" applyFill="1" applyBorder="1" applyAlignment="1">
      <alignment vertical="center" wrapText="1"/>
    </xf>
    <xf numFmtId="0" fontId="0" fillId="5" borderId="9" xfId="0" applyFill="1" applyBorder="1" applyAlignment="1">
      <alignment vertical="center" wrapText="1"/>
    </xf>
    <xf numFmtId="0" fontId="0" fillId="5" borderId="10" xfId="0" applyFill="1" applyBorder="1" applyAlignment="1">
      <alignment vertical="center" wrapText="1"/>
    </xf>
    <xf numFmtId="10" fontId="0" fillId="5" borderId="9" xfId="0" applyNumberFormat="1" applyFill="1" applyBorder="1" applyAlignment="1">
      <alignment horizontal="center"/>
    </xf>
    <xf numFmtId="10" fontId="0" fillId="5" borderId="11" xfId="0" applyNumberForma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10" fontId="0" fillId="7" borderId="9" xfId="0" applyNumberForma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0" fillId="5" borderId="11" xfId="0" applyFill="1" applyBorder="1" applyAlignment="1">
      <alignment vertical="center" wrapText="1"/>
    </xf>
    <xf numFmtId="10" fontId="0" fillId="5" borderId="9" xfId="0" applyNumberFormat="1" applyFill="1" applyBorder="1" applyAlignment="1">
      <alignment vertical="center" wrapText="1"/>
    </xf>
    <xf numFmtId="0" fontId="2" fillId="0" borderId="0" xfId="0" applyFont="1"/>
    <xf numFmtId="0" fontId="4" fillId="9" borderId="6" xfId="0" applyFont="1" applyFill="1" applyBorder="1" applyAlignment="1">
      <alignment horizontal="center" wrapText="1"/>
    </xf>
    <xf numFmtId="0" fontId="4" fillId="9" borderId="7" xfId="0" applyFont="1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10" borderId="8" xfId="0" applyFill="1" applyBorder="1"/>
    <xf numFmtId="0" fontId="0" fillId="10" borderId="10" xfId="0" applyFill="1" applyBorder="1"/>
    <xf numFmtId="0" fontId="6" fillId="0" borderId="0" xfId="0" applyFont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 wrapText="1"/>
    </xf>
    <xf numFmtId="2" fontId="3" fillId="5" borderId="9" xfId="0" applyNumberFormat="1" applyFont="1" applyFill="1" applyBorder="1" applyAlignment="1">
      <alignment horizontal="center" wrapText="1"/>
    </xf>
    <xf numFmtId="10" fontId="3" fillId="5" borderId="9" xfId="0" applyNumberFormat="1" applyFont="1" applyFill="1" applyBorder="1" applyAlignment="1">
      <alignment horizontal="center" wrapText="1"/>
    </xf>
    <xf numFmtId="0" fontId="4" fillId="5" borderId="10" xfId="0" applyFont="1" applyFill="1" applyBorder="1" applyAlignment="1">
      <alignment horizontal="center" wrapText="1"/>
    </xf>
    <xf numFmtId="2" fontId="3" fillId="5" borderId="11" xfId="0" applyNumberFormat="1" applyFont="1" applyFill="1" applyBorder="1" applyAlignment="1">
      <alignment horizontal="center" wrapText="1"/>
    </xf>
    <xf numFmtId="0" fontId="6" fillId="0" borderId="0" xfId="0" applyFont="1" applyAlignment="1"/>
    <xf numFmtId="0" fontId="6" fillId="0" borderId="0" xfId="0" applyFont="1" applyBorder="1" applyAlignment="1">
      <alignment horizontal="center"/>
    </xf>
    <xf numFmtId="0" fontId="2" fillId="12" borderId="6" xfId="0" applyFont="1" applyFill="1" applyBorder="1" applyAlignment="1">
      <alignment horizontal="center" vertical="center" wrapText="1"/>
    </xf>
    <xf numFmtId="0" fontId="2" fillId="12" borderId="7" xfId="0" applyFont="1" applyFill="1" applyBorder="1" applyAlignment="1">
      <alignment horizontal="center" vertical="center" wrapText="1"/>
    </xf>
    <xf numFmtId="0" fontId="0" fillId="11" borderId="8" xfId="0" applyFill="1" applyBorder="1" applyAlignment="1">
      <alignment horizontal="center" vertical="center" wrapText="1"/>
    </xf>
    <xf numFmtId="0" fontId="0" fillId="11" borderId="9" xfId="0" applyFill="1" applyBorder="1" applyAlignment="1">
      <alignment horizontal="center" vertical="center" wrapText="1"/>
    </xf>
    <xf numFmtId="10" fontId="0" fillId="11" borderId="9" xfId="0" applyNumberFormat="1" applyFill="1" applyBorder="1" applyAlignment="1">
      <alignment horizontal="center" vertical="center" wrapText="1"/>
    </xf>
    <xf numFmtId="0" fontId="0" fillId="11" borderId="10" xfId="0" applyFill="1" applyBorder="1" applyAlignment="1">
      <alignment horizontal="center" vertical="center" wrapText="1"/>
    </xf>
    <xf numFmtId="0" fontId="0" fillId="11" borderId="11" xfId="0" applyFill="1" applyBorder="1" applyAlignment="1">
      <alignment horizontal="center" vertical="center" wrapText="1"/>
    </xf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Dashboard!$E$3</c:f>
              <c:strCache>
                <c:ptCount val="1"/>
                <c:pt idx="0">
                  <c:v>Impressions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Dashboard!$D$4:$D$8</c:f>
              <c:strCache>
                <c:ptCount val="5"/>
                <c:pt idx="0">
                  <c:v>https://www.pinterest.com/MoMsTeensAndWomenFinding/kitchen-organization-ideas/</c:v>
                </c:pt>
                <c:pt idx="1">
                  <c:v>https://www.pinterest.com/MoMsTeensAndWomenFinding/lunch-boxes-lunch-bags/</c:v>
                </c:pt>
                <c:pt idx="2">
                  <c:v>https://www.pinterest.com/MoMsTeensAndWomenFinding/womens-fashion-everyday-style/</c:v>
                </c:pt>
                <c:pt idx="3">
                  <c:v>https://www.pinterest.com/MoMsTeensAndWomenFinding/home-decor-room-makeover-ideas/</c:v>
                </c:pt>
                <c:pt idx="4">
                  <c:v>https://www.pinterest.com/MoMsTeensAndWomenFinding/back-to-school-essentials/</c:v>
                </c:pt>
              </c:strCache>
            </c:strRef>
          </c:cat>
          <c:val>
            <c:numRef>
              <c:f>Dashboard!$E$4:$E$8</c:f>
              <c:numCache>
                <c:formatCode>General</c:formatCode>
                <c:ptCount val="5"/>
                <c:pt idx="0">
                  <c:v>96</c:v>
                </c:pt>
                <c:pt idx="1">
                  <c:v>50</c:v>
                </c:pt>
                <c:pt idx="2">
                  <c:v>20</c:v>
                </c:pt>
                <c:pt idx="3">
                  <c:v>16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5F-437F-8B2B-B450400307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9181120"/>
        <c:axId val="677510896"/>
      </c:barChart>
      <c:catAx>
        <c:axId val="67918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510896"/>
        <c:crosses val="autoZero"/>
        <c:auto val="1"/>
        <c:lblAlgn val="ctr"/>
        <c:lblOffset val="100"/>
        <c:noMultiLvlLbl val="0"/>
      </c:catAx>
      <c:valAx>
        <c:axId val="67751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181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315837</xdr:colOff>
      <xdr:row>12</xdr:row>
      <xdr:rowOff>5141</xdr:rowOff>
    </xdr:from>
    <xdr:to>
      <xdr:col>3</xdr:col>
      <xdr:colOff>4882999</xdr:colOff>
      <xdr:row>26</xdr:row>
      <xdr:rowOff>167520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3CA973-DBAF-F116-B2A6-657BFA19E0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E66610-3368-4CE2-A22B-6932BBF0F3CB}" name="Table2" displayName="Table2" ref="A1:F24" totalsRowShown="0" headerRowDxfId="15" dataDxfId="16" headerRowBorderDxfId="24" tableBorderDxfId="25" totalsRowBorderDxfId="23">
  <autoFilter ref="A1:F24" xr:uid="{72E66610-3368-4CE2-A22B-6932BBF0F3CB}"/>
  <tableColumns count="6">
    <tableColumn id="1" xr3:uid="{4AB3567C-7E18-4CE1-A5F9-CB5868034004}" name="Pinterest" dataDxfId="22"/>
    <tableColumn id="2" xr3:uid="{4277C99B-8FAB-4EC2-9062-ADFE9306996E}" name="Impressions" dataDxfId="21"/>
    <tableColumn id="3" xr3:uid="{31B542EC-063D-4A7F-8614-028A18DFD8A3}" name="Engagements" dataDxfId="20"/>
    <tableColumn id="4" xr3:uid="{B542B10E-C247-46F8-B684-91B55CB74DBE}" name="Pin Clicks" dataDxfId="19"/>
    <tableColumn id="5" xr3:uid="{E2F83776-472F-4805-8DD0-E77B8648C9E3}" name="Outbound Clicks" dataDxfId="18"/>
    <tableColumn id="6" xr3:uid="{72812182-18A5-460C-95E2-9CFBB30C2B30}" name="saves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06AC53F-955B-40AB-881A-9E98A7AFCDA4}" name="Table4" displayName="Table4" ref="A1:F21" totalsRowShown="0" headerRowDxfId="7" dataDxfId="6" tableBorderDxfId="14">
  <autoFilter ref="A1:F21" xr:uid="{506AC53F-955B-40AB-881A-9E98A7AFCDA4}"/>
  <tableColumns count="6">
    <tableColumn id="1" xr3:uid="{3A418C59-7155-42D0-955E-0ED9CD92B5A9}" name="Pinterest" dataDxfId="13"/>
    <tableColumn id="2" xr3:uid="{548C0B57-55B4-429A-B5E9-970761ED885E}" name="Impressions" dataDxfId="12"/>
    <tableColumn id="3" xr3:uid="{E052E8A1-C741-43A1-91A4-8EB53756402D}" name="Engagement" dataDxfId="11"/>
    <tableColumn id="4" xr3:uid="{9B622BC1-62AA-468F-BAEC-A6F58B1BD2C0}" name="Pin Clicks" dataDxfId="10"/>
    <tableColumn id="5" xr3:uid="{4E7E5B4E-C5FC-405E-AB7F-6017270460DE}" name="Out Bound Clicks" dataDxfId="9"/>
    <tableColumn id="6" xr3:uid="{A62DA8F5-6D1D-4743-B0E0-9FD118ED67AF}" name="Saves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FE3EF-6F8E-4B39-B163-5C75A205469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F5097-7EDA-4E48-8A93-14ACFE4A920D}">
  <dimension ref="A1:F24"/>
  <sheetViews>
    <sheetView workbookViewId="0"/>
  </sheetViews>
  <sheetFormatPr defaultRowHeight="14.5" x14ac:dyDescent="0.35"/>
  <cols>
    <col min="1" max="1" width="78.90625" bestFit="1" customWidth="1"/>
    <col min="2" max="2" width="13.08984375" customWidth="1"/>
    <col min="3" max="3" width="14" customWidth="1"/>
    <col min="4" max="4" width="11.1796875" customWidth="1"/>
    <col min="5" max="5" width="16.81640625" customWidth="1"/>
    <col min="6" max="6" width="7.54296875" customWidth="1"/>
  </cols>
  <sheetData>
    <row r="1" spans="1:6" x14ac:dyDescent="0.35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</row>
    <row r="2" spans="1:6" x14ac:dyDescent="0.35">
      <c r="A2" s="3" t="s">
        <v>0</v>
      </c>
      <c r="B2" s="3">
        <v>96</v>
      </c>
      <c r="C2" s="3">
        <v>2</v>
      </c>
      <c r="D2" s="3">
        <v>2</v>
      </c>
      <c r="E2" s="3">
        <v>0</v>
      </c>
      <c r="F2" s="3">
        <v>0</v>
      </c>
    </row>
    <row r="3" spans="1:6" x14ac:dyDescent="0.35">
      <c r="A3" s="6" t="s">
        <v>1</v>
      </c>
      <c r="B3" s="6">
        <v>50</v>
      </c>
      <c r="C3" s="6">
        <v>0</v>
      </c>
      <c r="D3" s="6">
        <v>0</v>
      </c>
      <c r="E3" s="6">
        <v>0</v>
      </c>
      <c r="F3" s="6">
        <v>0</v>
      </c>
    </row>
    <row r="4" spans="1:6" x14ac:dyDescent="0.35">
      <c r="A4" s="3" t="s">
        <v>2</v>
      </c>
      <c r="B4" s="3">
        <v>20</v>
      </c>
      <c r="C4" s="3">
        <v>0</v>
      </c>
      <c r="D4" s="3">
        <v>0</v>
      </c>
      <c r="E4" s="3">
        <v>0</v>
      </c>
      <c r="F4" s="3">
        <v>0</v>
      </c>
    </row>
    <row r="5" spans="1:6" x14ac:dyDescent="0.35">
      <c r="A5" s="6" t="s">
        <v>3</v>
      </c>
      <c r="B5" s="6">
        <v>16</v>
      </c>
      <c r="C5" s="6">
        <v>0</v>
      </c>
      <c r="D5" s="6">
        <v>0</v>
      </c>
      <c r="E5" s="6">
        <v>0</v>
      </c>
      <c r="F5" s="6">
        <v>0</v>
      </c>
    </row>
    <row r="6" spans="1:6" x14ac:dyDescent="0.35">
      <c r="A6" s="3" t="s">
        <v>4</v>
      </c>
      <c r="B6" s="3">
        <v>15</v>
      </c>
      <c r="C6" s="3">
        <v>0</v>
      </c>
      <c r="D6" s="3">
        <v>0</v>
      </c>
      <c r="E6" s="3">
        <v>0</v>
      </c>
      <c r="F6" s="3">
        <v>0</v>
      </c>
    </row>
    <row r="7" spans="1:6" x14ac:dyDescent="0.35">
      <c r="A7" s="6" t="s">
        <v>5</v>
      </c>
      <c r="B7" s="6">
        <v>13</v>
      </c>
      <c r="C7" s="6">
        <v>1</v>
      </c>
      <c r="D7" s="6">
        <v>1</v>
      </c>
      <c r="E7" s="6">
        <v>0</v>
      </c>
      <c r="F7" s="6">
        <v>0</v>
      </c>
    </row>
    <row r="8" spans="1:6" x14ac:dyDescent="0.35">
      <c r="A8" s="3" t="s">
        <v>6</v>
      </c>
      <c r="B8" s="3">
        <v>13</v>
      </c>
      <c r="C8" s="3">
        <v>0</v>
      </c>
      <c r="D8" s="3">
        <v>0</v>
      </c>
      <c r="E8" s="3">
        <v>0</v>
      </c>
      <c r="F8" s="3">
        <v>0</v>
      </c>
    </row>
    <row r="9" spans="1:6" x14ac:dyDescent="0.35">
      <c r="A9" s="6" t="s">
        <v>7</v>
      </c>
      <c r="B9" s="6">
        <v>11</v>
      </c>
      <c r="C9" s="6">
        <v>0</v>
      </c>
      <c r="D9" s="6">
        <v>0</v>
      </c>
      <c r="E9" s="6">
        <v>0</v>
      </c>
      <c r="F9" s="6">
        <v>0</v>
      </c>
    </row>
    <row r="10" spans="1:6" x14ac:dyDescent="0.35">
      <c r="A10" s="3" t="s">
        <v>8</v>
      </c>
      <c r="B10" s="3">
        <v>10</v>
      </c>
      <c r="C10" s="3">
        <v>0</v>
      </c>
      <c r="D10" s="3">
        <v>0</v>
      </c>
      <c r="E10" s="3">
        <v>0</v>
      </c>
      <c r="F10" s="3">
        <v>0</v>
      </c>
    </row>
    <row r="11" spans="1:6" x14ac:dyDescent="0.35">
      <c r="A11" s="6" t="s">
        <v>9</v>
      </c>
      <c r="B11" s="6">
        <v>9</v>
      </c>
      <c r="C11" s="6">
        <v>0</v>
      </c>
      <c r="D11" s="6">
        <v>0</v>
      </c>
      <c r="E11" s="6">
        <v>0</v>
      </c>
      <c r="F11" s="6">
        <v>0</v>
      </c>
    </row>
    <row r="12" spans="1:6" x14ac:dyDescent="0.35">
      <c r="A12" s="3" t="s">
        <v>10</v>
      </c>
      <c r="B12" s="3">
        <v>6</v>
      </c>
      <c r="C12" s="3">
        <v>0</v>
      </c>
      <c r="D12" s="3">
        <v>0</v>
      </c>
      <c r="E12" s="3">
        <v>0</v>
      </c>
      <c r="F12" s="3">
        <v>0</v>
      </c>
    </row>
    <row r="13" spans="1:6" x14ac:dyDescent="0.35">
      <c r="A13" s="6" t="s">
        <v>11</v>
      </c>
      <c r="B13" s="6">
        <v>5</v>
      </c>
      <c r="C13" s="6">
        <v>0</v>
      </c>
      <c r="D13" s="6">
        <v>0</v>
      </c>
      <c r="E13" s="6">
        <v>0</v>
      </c>
      <c r="F13" s="6">
        <v>0</v>
      </c>
    </row>
    <row r="14" spans="1:6" x14ac:dyDescent="0.35">
      <c r="A14" s="3" t="s">
        <v>12</v>
      </c>
      <c r="B14" s="3">
        <v>5</v>
      </c>
      <c r="C14" s="3">
        <v>0</v>
      </c>
      <c r="D14" s="3">
        <v>0</v>
      </c>
      <c r="E14" s="3">
        <v>0</v>
      </c>
      <c r="F14" s="3">
        <v>0</v>
      </c>
    </row>
    <row r="15" spans="1:6" x14ac:dyDescent="0.35">
      <c r="A15" s="6" t="s">
        <v>13</v>
      </c>
      <c r="B15" s="6">
        <v>4</v>
      </c>
      <c r="C15" s="6">
        <v>0</v>
      </c>
      <c r="D15" s="6">
        <v>0</v>
      </c>
      <c r="E15" s="6">
        <v>0</v>
      </c>
      <c r="F15" s="6">
        <v>0</v>
      </c>
    </row>
    <row r="16" spans="1:6" x14ac:dyDescent="0.35">
      <c r="A16" s="3" t="s">
        <v>14</v>
      </c>
      <c r="B16" s="3">
        <v>4</v>
      </c>
      <c r="C16" s="3">
        <v>0</v>
      </c>
      <c r="D16" s="3">
        <v>0</v>
      </c>
      <c r="E16" s="3">
        <v>0</v>
      </c>
      <c r="F16" s="3">
        <v>0</v>
      </c>
    </row>
    <row r="17" spans="1:6" x14ac:dyDescent="0.35">
      <c r="A17" s="6" t="s">
        <v>15</v>
      </c>
      <c r="B17" s="6">
        <v>3</v>
      </c>
      <c r="C17" s="6">
        <v>0</v>
      </c>
      <c r="D17" s="6">
        <v>0</v>
      </c>
      <c r="E17" s="6">
        <v>0</v>
      </c>
      <c r="F17" s="6">
        <v>0</v>
      </c>
    </row>
    <row r="18" spans="1:6" x14ac:dyDescent="0.35">
      <c r="A18" s="3" t="s">
        <v>16</v>
      </c>
      <c r="B18" s="3">
        <v>3</v>
      </c>
      <c r="C18" s="3">
        <v>0</v>
      </c>
      <c r="D18" s="3">
        <v>0</v>
      </c>
      <c r="E18" s="3">
        <v>0</v>
      </c>
      <c r="F18" s="3">
        <v>0</v>
      </c>
    </row>
    <row r="19" spans="1:6" x14ac:dyDescent="0.35">
      <c r="A19" s="6" t="s">
        <v>17</v>
      </c>
      <c r="B19" s="6">
        <v>3</v>
      </c>
      <c r="C19" s="6">
        <v>0</v>
      </c>
      <c r="D19" s="6">
        <v>0</v>
      </c>
      <c r="E19" s="6">
        <v>0</v>
      </c>
      <c r="F19" s="6">
        <v>0</v>
      </c>
    </row>
    <row r="20" spans="1:6" x14ac:dyDescent="0.35">
      <c r="A20" s="3" t="s">
        <v>18</v>
      </c>
      <c r="B20" s="3">
        <v>2</v>
      </c>
      <c r="C20" s="3">
        <v>0</v>
      </c>
      <c r="D20" s="3">
        <v>0</v>
      </c>
      <c r="E20" s="3">
        <v>0</v>
      </c>
      <c r="F20" s="3">
        <v>0</v>
      </c>
    </row>
    <row r="21" spans="1:6" x14ac:dyDescent="0.35">
      <c r="A21" s="9" t="s">
        <v>19</v>
      </c>
      <c r="B21" s="9">
        <v>1</v>
      </c>
      <c r="C21" s="9">
        <v>0</v>
      </c>
      <c r="D21" s="9">
        <v>0</v>
      </c>
      <c r="E21" s="9">
        <v>0</v>
      </c>
      <c r="F21" s="9">
        <v>0</v>
      </c>
    </row>
    <row r="22" spans="1:6" x14ac:dyDescent="0.35">
      <c r="A22" s="9" t="s">
        <v>26</v>
      </c>
      <c r="B22" s="9"/>
      <c r="C22" s="9"/>
      <c r="D22" s="9"/>
      <c r="E22" s="9"/>
      <c r="F22" s="9"/>
    </row>
    <row r="23" spans="1:6" x14ac:dyDescent="0.35">
      <c r="A23" s="9"/>
      <c r="B23" s="9">
        <v>-1</v>
      </c>
      <c r="C23" s="9"/>
      <c r="D23" s="9"/>
      <c r="E23" s="9"/>
      <c r="F23" s="9"/>
    </row>
    <row r="24" spans="1:6" x14ac:dyDescent="0.35">
      <c r="A24" s="9"/>
      <c r="B24" s="9">
        <v>-22</v>
      </c>
      <c r="C24" s="9"/>
      <c r="D24" s="9"/>
      <c r="E24" s="9"/>
      <c r="F24" s="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7F612-B3E5-43BC-A9E6-6ED5178C872E}">
  <dimension ref="A1:F21"/>
  <sheetViews>
    <sheetView workbookViewId="0">
      <selection sqref="A1:A1048576"/>
    </sheetView>
  </sheetViews>
  <sheetFormatPr defaultRowHeight="14.5" x14ac:dyDescent="0.35"/>
  <cols>
    <col min="1" max="1" width="78.90625" bestFit="1" customWidth="1"/>
    <col min="2" max="3" width="13.08984375" customWidth="1"/>
    <col min="4" max="4" width="11.1796875" customWidth="1"/>
    <col min="5" max="5" width="17.1796875" customWidth="1"/>
    <col min="6" max="6" width="7.7265625" customWidth="1"/>
  </cols>
  <sheetData>
    <row r="1" spans="1:6" x14ac:dyDescent="0.35">
      <c r="A1" s="1" t="s">
        <v>20</v>
      </c>
      <c r="B1" s="1" t="s">
        <v>21</v>
      </c>
      <c r="C1" s="1" t="s">
        <v>27</v>
      </c>
      <c r="D1" s="1" t="s">
        <v>23</v>
      </c>
      <c r="E1" s="1" t="s">
        <v>28</v>
      </c>
      <c r="F1" s="1" t="s">
        <v>29</v>
      </c>
    </row>
    <row r="2" spans="1:6" x14ac:dyDescent="0.35">
      <c r="A2" s="2" t="s">
        <v>0</v>
      </c>
      <c r="B2" s="3">
        <v>96</v>
      </c>
      <c r="C2" s="3">
        <v>2</v>
      </c>
      <c r="D2" s="3">
        <v>2</v>
      </c>
      <c r="E2" s="3">
        <v>0</v>
      </c>
      <c r="F2" s="4">
        <v>0</v>
      </c>
    </row>
    <row r="3" spans="1:6" x14ac:dyDescent="0.35">
      <c r="A3" s="5" t="s">
        <v>1</v>
      </c>
      <c r="B3" s="6">
        <v>50</v>
      </c>
      <c r="C3" s="6">
        <v>0</v>
      </c>
      <c r="D3" s="6">
        <v>0</v>
      </c>
      <c r="E3" s="6">
        <v>0</v>
      </c>
      <c r="F3" s="7">
        <v>0</v>
      </c>
    </row>
    <row r="4" spans="1:6" x14ac:dyDescent="0.35">
      <c r="A4" s="2" t="s">
        <v>2</v>
      </c>
      <c r="B4" s="3">
        <v>20</v>
      </c>
      <c r="C4" s="3">
        <v>0</v>
      </c>
      <c r="D4" s="3">
        <v>0</v>
      </c>
      <c r="E4" s="3">
        <v>0</v>
      </c>
      <c r="F4" s="4">
        <v>0</v>
      </c>
    </row>
    <row r="5" spans="1:6" x14ac:dyDescent="0.35">
      <c r="A5" s="5" t="s">
        <v>3</v>
      </c>
      <c r="B5" s="6">
        <v>16</v>
      </c>
      <c r="C5" s="6">
        <v>0</v>
      </c>
      <c r="D5" s="6">
        <v>0</v>
      </c>
      <c r="E5" s="6">
        <v>0</v>
      </c>
      <c r="F5" s="7">
        <v>0</v>
      </c>
    </row>
    <row r="6" spans="1:6" x14ac:dyDescent="0.35">
      <c r="A6" s="2" t="s">
        <v>4</v>
      </c>
      <c r="B6" s="3">
        <v>15</v>
      </c>
      <c r="C6" s="3">
        <v>0</v>
      </c>
      <c r="D6" s="3">
        <v>0</v>
      </c>
      <c r="E6" s="3">
        <v>0</v>
      </c>
      <c r="F6" s="4">
        <v>0</v>
      </c>
    </row>
    <row r="7" spans="1:6" x14ac:dyDescent="0.35">
      <c r="A7" s="5" t="s">
        <v>5</v>
      </c>
      <c r="B7" s="6">
        <v>13</v>
      </c>
      <c r="C7" s="6">
        <v>1</v>
      </c>
      <c r="D7" s="6">
        <v>1</v>
      </c>
      <c r="E7" s="6">
        <v>0</v>
      </c>
      <c r="F7" s="7">
        <v>0</v>
      </c>
    </row>
    <row r="8" spans="1:6" x14ac:dyDescent="0.35">
      <c r="A8" s="2" t="s">
        <v>6</v>
      </c>
      <c r="B8" s="3">
        <v>13</v>
      </c>
      <c r="C8" s="3">
        <v>0</v>
      </c>
      <c r="D8" s="3">
        <v>0</v>
      </c>
      <c r="E8" s="3">
        <v>0</v>
      </c>
      <c r="F8" s="4">
        <v>0</v>
      </c>
    </row>
    <row r="9" spans="1:6" x14ac:dyDescent="0.35">
      <c r="A9" s="5" t="s">
        <v>7</v>
      </c>
      <c r="B9" s="6">
        <v>11</v>
      </c>
      <c r="C9" s="6">
        <v>0</v>
      </c>
      <c r="D9" s="6">
        <v>0</v>
      </c>
      <c r="E9" s="6">
        <v>0</v>
      </c>
      <c r="F9" s="7">
        <v>0</v>
      </c>
    </row>
    <row r="10" spans="1:6" x14ac:dyDescent="0.35">
      <c r="A10" s="2" t="s">
        <v>8</v>
      </c>
      <c r="B10" s="3">
        <v>10</v>
      </c>
      <c r="C10" s="3">
        <v>0</v>
      </c>
      <c r="D10" s="3">
        <v>0</v>
      </c>
      <c r="E10" s="3">
        <v>0</v>
      </c>
      <c r="F10" s="4">
        <v>0</v>
      </c>
    </row>
    <row r="11" spans="1:6" x14ac:dyDescent="0.35">
      <c r="A11" s="5" t="s">
        <v>9</v>
      </c>
      <c r="B11" s="6">
        <v>9</v>
      </c>
      <c r="C11" s="6">
        <v>0</v>
      </c>
      <c r="D11" s="6">
        <v>0</v>
      </c>
      <c r="E11" s="6">
        <v>0</v>
      </c>
      <c r="F11" s="7">
        <v>0</v>
      </c>
    </row>
    <row r="12" spans="1:6" x14ac:dyDescent="0.35">
      <c r="A12" s="2" t="s">
        <v>10</v>
      </c>
      <c r="B12" s="3">
        <v>6</v>
      </c>
      <c r="C12" s="3">
        <v>0</v>
      </c>
      <c r="D12" s="3">
        <v>0</v>
      </c>
      <c r="E12" s="3">
        <v>0</v>
      </c>
      <c r="F12" s="4">
        <v>0</v>
      </c>
    </row>
    <row r="13" spans="1:6" x14ac:dyDescent="0.35">
      <c r="A13" s="5" t="s">
        <v>11</v>
      </c>
      <c r="B13" s="6">
        <v>5</v>
      </c>
      <c r="C13" s="6">
        <v>0</v>
      </c>
      <c r="D13" s="6">
        <v>0</v>
      </c>
      <c r="E13" s="6">
        <v>0</v>
      </c>
      <c r="F13" s="7">
        <v>0</v>
      </c>
    </row>
    <row r="14" spans="1:6" x14ac:dyDescent="0.35">
      <c r="A14" s="2" t="s">
        <v>12</v>
      </c>
      <c r="B14" s="3">
        <v>5</v>
      </c>
      <c r="C14" s="3">
        <v>0</v>
      </c>
      <c r="D14" s="3">
        <v>0</v>
      </c>
      <c r="E14" s="3">
        <v>0</v>
      </c>
      <c r="F14" s="4">
        <v>0</v>
      </c>
    </row>
    <row r="15" spans="1:6" x14ac:dyDescent="0.35">
      <c r="A15" s="5" t="s">
        <v>13</v>
      </c>
      <c r="B15" s="6">
        <v>4</v>
      </c>
      <c r="C15" s="6">
        <v>0</v>
      </c>
      <c r="D15" s="6">
        <v>0</v>
      </c>
      <c r="E15" s="6">
        <v>0</v>
      </c>
      <c r="F15" s="7">
        <v>0</v>
      </c>
    </row>
    <row r="16" spans="1:6" x14ac:dyDescent="0.35">
      <c r="A16" s="2" t="s">
        <v>14</v>
      </c>
      <c r="B16" s="3">
        <v>4</v>
      </c>
      <c r="C16" s="3">
        <v>0</v>
      </c>
      <c r="D16" s="3">
        <v>0</v>
      </c>
      <c r="E16" s="3">
        <v>0</v>
      </c>
      <c r="F16" s="4">
        <v>0</v>
      </c>
    </row>
    <row r="17" spans="1:6" x14ac:dyDescent="0.35">
      <c r="A17" s="5" t="s">
        <v>15</v>
      </c>
      <c r="B17" s="6">
        <v>3</v>
      </c>
      <c r="C17" s="6">
        <v>0</v>
      </c>
      <c r="D17" s="6">
        <v>0</v>
      </c>
      <c r="E17" s="6">
        <v>0</v>
      </c>
      <c r="F17" s="7">
        <v>0</v>
      </c>
    </row>
    <row r="18" spans="1:6" x14ac:dyDescent="0.35">
      <c r="A18" s="2" t="s">
        <v>16</v>
      </c>
      <c r="B18" s="3">
        <v>3</v>
      </c>
      <c r="C18" s="3">
        <v>0</v>
      </c>
      <c r="D18" s="3">
        <v>0</v>
      </c>
      <c r="E18" s="3">
        <v>0</v>
      </c>
      <c r="F18" s="4">
        <v>0</v>
      </c>
    </row>
    <row r="19" spans="1:6" x14ac:dyDescent="0.35">
      <c r="A19" s="5" t="s">
        <v>17</v>
      </c>
      <c r="B19" s="6">
        <v>3</v>
      </c>
      <c r="C19" s="6">
        <v>0</v>
      </c>
      <c r="D19" s="6">
        <v>0</v>
      </c>
      <c r="E19" s="6">
        <v>0</v>
      </c>
      <c r="F19" s="7">
        <v>0</v>
      </c>
    </row>
    <row r="20" spans="1:6" x14ac:dyDescent="0.35">
      <c r="A20" s="2" t="s">
        <v>18</v>
      </c>
      <c r="B20" s="3">
        <v>2</v>
      </c>
      <c r="C20" s="3">
        <v>0</v>
      </c>
      <c r="D20" s="3">
        <v>0</v>
      </c>
      <c r="E20" s="3">
        <v>0</v>
      </c>
      <c r="F20" s="4">
        <v>0</v>
      </c>
    </row>
    <row r="21" spans="1:6" x14ac:dyDescent="0.35">
      <c r="A21" s="5" t="s">
        <v>19</v>
      </c>
      <c r="B21" s="6">
        <v>1</v>
      </c>
      <c r="C21" s="6">
        <v>0</v>
      </c>
      <c r="D21" s="6">
        <v>0</v>
      </c>
      <c r="E21" s="6">
        <v>0</v>
      </c>
      <c r="F21" s="7">
        <v>0</v>
      </c>
    </row>
  </sheetData>
  <conditionalFormatting sqref="A2:F21">
    <cfRule type="cellIs" dxfId="5" priority="1" operator="lessThan">
      <formula>0</formula>
    </cfRule>
    <cfRule type="cellIs" dxfId="4" priority="2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1D665-0D9F-4638-8E4B-3137B238A859}">
  <dimension ref="A1:B13"/>
  <sheetViews>
    <sheetView workbookViewId="0">
      <selection activeCell="B11" sqref="B11"/>
    </sheetView>
  </sheetViews>
  <sheetFormatPr defaultRowHeight="14.5" x14ac:dyDescent="0.35"/>
  <cols>
    <col min="1" max="2" width="25.6328125" customWidth="1"/>
  </cols>
  <sheetData>
    <row r="1" spans="1:2" x14ac:dyDescent="0.35">
      <c r="A1" s="10" t="s">
        <v>30</v>
      </c>
      <c r="B1" s="11" t="s">
        <v>31</v>
      </c>
    </row>
    <row r="2" spans="1:2" x14ac:dyDescent="0.35">
      <c r="A2" s="12" t="s">
        <v>32</v>
      </c>
      <c r="B2" s="13">
        <f>SUM(Cleaned_Data!B:B)</f>
        <v>289</v>
      </c>
    </row>
    <row r="3" spans="1:2" x14ac:dyDescent="0.35">
      <c r="A3" s="12" t="s">
        <v>33</v>
      </c>
      <c r="B3" s="13">
        <f>SUM(Cleaned_Data!C:C)</f>
        <v>3</v>
      </c>
    </row>
    <row r="4" spans="1:2" x14ac:dyDescent="0.35">
      <c r="A4" s="12" t="s">
        <v>34</v>
      </c>
      <c r="B4" s="13">
        <f>SUM(Cleaned_Data!D:D)</f>
        <v>3</v>
      </c>
    </row>
    <row r="5" spans="1:2" x14ac:dyDescent="0.35">
      <c r="A5" s="12" t="s">
        <v>35</v>
      </c>
      <c r="B5" s="13">
        <f>SUM(Cleaned_Data!E:E)</f>
        <v>0</v>
      </c>
    </row>
    <row r="6" spans="1:2" x14ac:dyDescent="0.35">
      <c r="A6" s="12" t="s">
        <v>36</v>
      </c>
      <c r="B6" s="13">
        <f>SUM(Cleaned_Data!F:F)</f>
        <v>0</v>
      </c>
    </row>
    <row r="7" spans="1:2" x14ac:dyDescent="0.35">
      <c r="A7" s="12" t="s">
        <v>37</v>
      </c>
      <c r="B7" s="13">
        <f>AVERAGE(Cleaned_Data!B:B)</f>
        <v>14.45</v>
      </c>
    </row>
    <row r="8" spans="1:2" x14ac:dyDescent="0.35">
      <c r="A8" s="12" t="s">
        <v>38</v>
      </c>
      <c r="B8" s="13">
        <f>MAX(Table4[Impressions])</f>
        <v>96</v>
      </c>
    </row>
    <row r="9" spans="1:2" x14ac:dyDescent="0.35">
      <c r="A9" s="12" t="s">
        <v>39</v>
      </c>
      <c r="B9" s="13">
        <f>MIN(Cleaned_Data!B:B)</f>
        <v>1</v>
      </c>
    </row>
    <row r="10" spans="1:2" x14ac:dyDescent="0.35">
      <c r="A10" s="12" t="s">
        <v>40</v>
      </c>
      <c r="B10" s="13">
        <f>COUNT(Cleaned_Data!D:D)</f>
        <v>20</v>
      </c>
    </row>
    <row r="11" spans="1:2" x14ac:dyDescent="0.35">
      <c r="A11" s="12" t="s">
        <v>41</v>
      </c>
      <c r="B11" s="18">
        <f>B3/B2</f>
        <v>1.0380622837370242E-2</v>
      </c>
    </row>
    <row r="12" spans="1:2" x14ac:dyDescent="0.35">
      <c r="A12" s="12" t="s">
        <v>42</v>
      </c>
      <c r="B12" s="18">
        <f>B4/B2</f>
        <v>1.0380622837370242E-2</v>
      </c>
    </row>
    <row r="13" spans="1:2" ht="15" thickBot="1" x14ac:dyDescent="0.4">
      <c r="A13" s="14" t="s">
        <v>43</v>
      </c>
      <c r="B13" s="19">
        <f>B5/B2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6A429-EF5C-4AA7-B77E-0DE1E6D83DE8}">
  <dimension ref="A1:E10"/>
  <sheetViews>
    <sheetView workbookViewId="0">
      <selection activeCell="E11" sqref="E10:E11"/>
    </sheetView>
  </sheetViews>
  <sheetFormatPr defaultRowHeight="14.5" x14ac:dyDescent="0.35"/>
  <cols>
    <col min="1" max="2" width="20.81640625" customWidth="1"/>
    <col min="4" max="5" width="43.36328125" customWidth="1"/>
  </cols>
  <sheetData>
    <row r="1" spans="1:5" x14ac:dyDescent="0.35">
      <c r="A1" s="20" t="s">
        <v>44</v>
      </c>
      <c r="B1" s="21" t="s">
        <v>31</v>
      </c>
      <c r="D1" s="27" t="s">
        <v>47</v>
      </c>
      <c r="E1" s="28" t="s">
        <v>48</v>
      </c>
    </row>
    <row r="2" spans="1:5" x14ac:dyDescent="0.35">
      <c r="A2" s="22" t="s">
        <v>32</v>
      </c>
      <c r="B2" s="23">
        <f>Calculation!B2</f>
        <v>289</v>
      </c>
      <c r="D2" s="15" t="s">
        <v>49</v>
      </c>
      <c r="E2" s="16">
        <f>MAX(Cleaned_Data!B:B)</f>
        <v>96</v>
      </c>
    </row>
    <row r="3" spans="1:5" x14ac:dyDescent="0.35">
      <c r="A3" s="22" t="s">
        <v>33</v>
      </c>
      <c r="B3" s="23">
        <f>Calculation!B3</f>
        <v>3</v>
      </c>
      <c r="D3" s="15" t="s">
        <v>50</v>
      </c>
      <c r="E3" s="16">
        <f>SUM(Cleaned_Data!B:B)</f>
        <v>289</v>
      </c>
    </row>
    <row r="4" spans="1:5" x14ac:dyDescent="0.35">
      <c r="A4" s="22" t="s">
        <v>34</v>
      </c>
      <c r="B4" s="23">
        <f>Calculation!B4</f>
        <v>3</v>
      </c>
      <c r="D4" s="15" t="s">
        <v>51</v>
      </c>
      <c r="E4" s="30">
        <f>B5</f>
        <v>1.0380622837370242E-2</v>
      </c>
    </row>
    <row r="5" spans="1:5" x14ac:dyDescent="0.35">
      <c r="A5" s="22" t="s">
        <v>41</v>
      </c>
      <c r="B5" s="26">
        <f>Calculation!B11</f>
        <v>1.0380622837370242E-2</v>
      </c>
      <c r="D5" s="15" t="s">
        <v>52</v>
      </c>
      <c r="E5" s="16" t="s">
        <v>56</v>
      </c>
    </row>
    <row r="6" spans="1:5" x14ac:dyDescent="0.35">
      <c r="A6" s="22" t="s">
        <v>45</v>
      </c>
      <c r="B6" s="26">
        <f>Calculation!B12</f>
        <v>1.0380622837370242E-2</v>
      </c>
      <c r="D6" s="15" t="s">
        <v>53</v>
      </c>
      <c r="E6" s="16">
        <f>COUNTA(Cleaned_Data!A:A)</f>
        <v>21</v>
      </c>
    </row>
    <row r="7" spans="1:5" x14ac:dyDescent="0.35">
      <c r="A7" s="22" t="s">
        <v>43</v>
      </c>
      <c r="B7" s="26">
        <f>Calculation!B13</f>
        <v>0</v>
      </c>
      <c r="D7" s="15" t="s">
        <v>54</v>
      </c>
      <c r="E7" s="16">
        <f>B9</f>
        <v>14.45</v>
      </c>
    </row>
    <row r="8" spans="1:5" ht="29.5" thickBot="1" x14ac:dyDescent="0.4">
      <c r="A8" s="22" t="s">
        <v>40</v>
      </c>
      <c r="B8" s="23">
        <f>COUNTA(Cleaned_Data!A:A)</f>
        <v>21</v>
      </c>
      <c r="D8" s="17" t="s">
        <v>55</v>
      </c>
      <c r="E8" s="29" t="s">
        <v>57</v>
      </c>
    </row>
    <row r="9" spans="1:5" x14ac:dyDescent="0.35">
      <c r="A9" s="22" t="s">
        <v>37</v>
      </c>
      <c r="B9" s="23">
        <f>Calculation!B7</f>
        <v>14.45</v>
      </c>
    </row>
    <row r="10" spans="1:5" ht="15" thickBot="1" x14ac:dyDescent="0.4">
      <c r="A10" s="24" t="s">
        <v>46</v>
      </c>
      <c r="B10" s="25">
        <f>Calculation!B8</f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6930A-CF7C-4A6A-B9BA-00BF9DB05A99}">
  <dimension ref="A1:H23"/>
  <sheetViews>
    <sheetView tabSelected="1" topLeftCell="A4" zoomScale="54" workbookViewId="0">
      <selection activeCell="F22" sqref="F22"/>
    </sheetView>
  </sheetViews>
  <sheetFormatPr defaultRowHeight="14.5" x14ac:dyDescent="0.35"/>
  <cols>
    <col min="1" max="2" width="29.81640625" customWidth="1"/>
    <col min="4" max="4" width="79.26953125" bestFit="1" customWidth="1"/>
    <col min="5" max="5" width="14.54296875" bestFit="1" customWidth="1"/>
  </cols>
  <sheetData>
    <row r="1" spans="1:8" ht="24" thickBot="1" x14ac:dyDescent="0.6">
      <c r="A1" s="47" t="s">
        <v>59</v>
      </c>
      <c r="B1" s="47"/>
      <c r="C1" s="47"/>
      <c r="D1" s="47"/>
      <c r="E1" s="46"/>
      <c r="F1" s="46"/>
      <c r="G1" s="46"/>
      <c r="H1" s="46"/>
    </row>
    <row r="2" spans="1:8" ht="24" thickBot="1" x14ac:dyDescent="0.6">
      <c r="A2" s="39" t="s">
        <v>44</v>
      </c>
      <c r="B2" s="40" t="s">
        <v>60</v>
      </c>
      <c r="C2" s="38"/>
      <c r="D2" s="38"/>
      <c r="E2" s="38"/>
      <c r="F2" s="38"/>
      <c r="G2" s="38"/>
      <c r="H2" s="38"/>
    </row>
    <row r="3" spans="1:8" ht="18.5" x14ac:dyDescent="0.45">
      <c r="A3" s="41" t="s">
        <v>32</v>
      </c>
      <c r="B3" s="42">
        <f>SUM(Cleaned_Data!B:B)</f>
        <v>289</v>
      </c>
      <c r="D3" s="32" t="s">
        <v>58</v>
      </c>
      <c r="E3" s="33" t="s">
        <v>21</v>
      </c>
    </row>
    <row r="4" spans="1:8" ht="18.5" x14ac:dyDescent="0.45">
      <c r="A4" s="41" t="s">
        <v>33</v>
      </c>
      <c r="B4" s="42">
        <f>SUM(Table4[Engagement])</f>
        <v>3</v>
      </c>
      <c r="D4" s="36" t="s">
        <v>0</v>
      </c>
      <c r="E4" s="34">
        <v>96</v>
      </c>
    </row>
    <row r="5" spans="1:8" ht="18.5" x14ac:dyDescent="0.45">
      <c r="A5" s="41" t="s">
        <v>41</v>
      </c>
      <c r="B5" s="43">
        <f>Calculation!B11</f>
        <v>1.0380622837370242E-2</v>
      </c>
      <c r="D5" s="36" t="s">
        <v>1</v>
      </c>
      <c r="E5" s="34">
        <v>50</v>
      </c>
    </row>
    <row r="6" spans="1:8" ht="18.5" x14ac:dyDescent="0.45">
      <c r="A6" s="41" t="s">
        <v>45</v>
      </c>
      <c r="B6" s="43">
        <f>Calculation!B12</f>
        <v>1.0380622837370242E-2</v>
      </c>
      <c r="D6" s="36" t="s">
        <v>2</v>
      </c>
      <c r="E6" s="34">
        <v>20</v>
      </c>
    </row>
    <row r="7" spans="1:8" ht="18.5" x14ac:dyDescent="0.45">
      <c r="A7" s="41" t="s">
        <v>24</v>
      </c>
      <c r="B7" s="43">
        <f>Calculation!B13</f>
        <v>0</v>
      </c>
      <c r="D7" s="36" t="s">
        <v>3</v>
      </c>
      <c r="E7" s="34">
        <v>16</v>
      </c>
    </row>
    <row r="8" spans="1:8" ht="19" thickBot="1" x14ac:dyDescent="0.5">
      <c r="A8" s="41" t="s">
        <v>40</v>
      </c>
      <c r="B8" s="42">
        <f>COUNTA(Cleaned_Data!A:A)</f>
        <v>21</v>
      </c>
      <c r="D8" s="37" t="s">
        <v>4</v>
      </c>
      <c r="E8" s="35">
        <v>15</v>
      </c>
    </row>
    <row r="9" spans="1:8" ht="18.5" x14ac:dyDescent="0.45">
      <c r="A9" s="41" t="s">
        <v>37</v>
      </c>
      <c r="B9" s="42">
        <f>AVERAGE(Cleaned_Data!B:B)</f>
        <v>14.45</v>
      </c>
    </row>
    <row r="10" spans="1:8" ht="19" thickBot="1" x14ac:dyDescent="0.5">
      <c r="A10" s="44" t="s">
        <v>46</v>
      </c>
      <c r="B10" s="45">
        <f>MAX(Cleaned_Data!B:B)</f>
        <v>96</v>
      </c>
    </row>
    <row r="17" spans="1:2" ht="15" thickBot="1" x14ac:dyDescent="0.4">
      <c r="A17" s="31"/>
      <c r="B17" s="31"/>
    </row>
    <row r="18" spans="1:2" x14ac:dyDescent="0.35">
      <c r="A18" s="48" t="s">
        <v>62</v>
      </c>
      <c r="B18" s="49" t="s">
        <v>61</v>
      </c>
    </row>
    <row r="19" spans="1:2" x14ac:dyDescent="0.35">
      <c r="A19" s="50" t="s">
        <v>63</v>
      </c>
      <c r="B19" s="51" t="s">
        <v>64</v>
      </c>
    </row>
    <row r="20" spans="1:2" x14ac:dyDescent="0.35">
      <c r="A20" s="50" t="s">
        <v>65</v>
      </c>
      <c r="B20" s="51" t="s">
        <v>66</v>
      </c>
    </row>
    <row r="21" spans="1:2" x14ac:dyDescent="0.35">
      <c r="A21" s="50" t="s">
        <v>67</v>
      </c>
      <c r="B21" s="52">
        <f>KPI_Analysis!B5</f>
        <v>1.0380622837370242E-2</v>
      </c>
    </row>
    <row r="22" spans="1:2" x14ac:dyDescent="0.35">
      <c r="A22" s="50" t="s">
        <v>68</v>
      </c>
      <c r="B22" s="52">
        <f>KPI_Analysis!B7</f>
        <v>0</v>
      </c>
    </row>
    <row r="23" spans="1:2" ht="15" thickBot="1" x14ac:dyDescent="0.4">
      <c r="A23" s="53" t="s">
        <v>69</v>
      </c>
      <c r="B23" s="54">
        <f>COUNTA(Cleaned_Data!A:A)</f>
        <v>21</v>
      </c>
    </row>
  </sheetData>
  <mergeCells count="1">
    <mergeCell ref="A1:D1"/>
  </mergeCells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Raw_Data</vt:lpstr>
      <vt:lpstr>Cleaned_Data</vt:lpstr>
      <vt:lpstr>Calculation</vt:lpstr>
      <vt:lpstr>KPI_Analysis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Musale</dc:creator>
  <cp:lastModifiedBy>Rekha Musale</cp:lastModifiedBy>
  <dcterms:created xsi:type="dcterms:W3CDTF">2026-09-17T11:10:23Z</dcterms:created>
  <dcterms:modified xsi:type="dcterms:W3CDTF">2026-09-17T12:08:37Z</dcterms:modified>
</cp:coreProperties>
</file>