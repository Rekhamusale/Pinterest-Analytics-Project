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2_VLookUp\"/>
    </mc:Choice>
  </mc:AlternateContent>
  <xr:revisionPtr revIDLastSave="0" documentId="13_ncr:1_{6370845A-97C3-4E32-AFE8-BD1F325CE6C4}" xr6:coauthVersionLast="47" xr6:coauthVersionMax="47" xr10:uidLastSave="{00000000-0000-0000-0000-000000000000}"/>
  <bookViews>
    <workbookView xWindow="-110" yWindow="-110" windowWidth="19420" windowHeight="10300" activeTab="1" xr2:uid="{568823AC-CE67-4111-AF51-A0867C8A22E4}"/>
  </bookViews>
  <sheets>
    <sheet name="Pin_Data" sheetId="1" r:id="rId1"/>
    <sheet name="Lookup_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8" i="2"/>
  <c r="B7" i="2"/>
  <c r="B6" i="2"/>
</calcChain>
</file>

<file path=xl/sharedStrings.xml><?xml version="1.0" encoding="utf-8"?>
<sst xmlns="http://schemas.openxmlformats.org/spreadsheetml/2006/main" count="40" uniqueCount="23">
  <si>
    <t>Pin Name</t>
  </si>
  <si>
    <t>Category</t>
  </si>
  <si>
    <t>Impressions</t>
  </si>
  <si>
    <t>Engagement</t>
  </si>
  <si>
    <t>Wooden Knife Holder</t>
  </si>
  <si>
    <t>Kitchen</t>
  </si>
  <si>
    <t>Leak-Proof Tiffin Box</t>
  </si>
  <si>
    <t>Home Decor Ideas</t>
  </si>
  <si>
    <t>Home</t>
  </si>
  <si>
    <t>Womens Fashion</t>
  </si>
  <si>
    <t>Fashion</t>
  </si>
  <si>
    <t>Beauty Self-Care</t>
  </si>
  <si>
    <t>Beauty</t>
  </si>
  <si>
    <t>Kitchen Storage</t>
  </si>
  <si>
    <t>Handbag Fashion</t>
  </si>
  <si>
    <t>Home Essentials</t>
  </si>
  <si>
    <t>Skincare Products</t>
  </si>
  <si>
    <t>Desk Setup</t>
  </si>
  <si>
    <t>Pinterest Pin Lookup</t>
  </si>
  <si>
    <t>Enter Pin Name</t>
  </si>
  <si>
    <t>Result</t>
  </si>
  <si>
    <t>IFERROR ----- Formula</t>
  </si>
  <si>
    <t>Premium Lunch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</si>
</sst>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0027B-EBF9-4044-AFDA-836536F03CB8}" name="Table1" displayName="Table1" ref="A1:D11" totalsRowShown="0" headerRowDxfId="0" headerRowBorderDxfId="6" tableBorderDxfId="7" totalsRowBorderDxfId="5">
  <autoFilter ref="A1:D11" xr:uid="{1D10027B-EBF9-4044-AFDA-836536F03CB8}"/>
  <tableColumns count="4">
    <tableColumn id="1" xr3:uid="{BDB77BA6-4E7D-4021-A6C9-81D8EB8217AF}" name="Pin Name" dataDxfId="4"/>
    <tableColumn id="2" xr3:uid="{C45A7E32-A34F-46D7-956E-5A8E9E74C3FB}" name="Category" dataDxfId="3"/>
    <tableColumn id="3" xr3:uid="{CB2CFB01-0B84-4D80-B3F4-D04ADD9CCB0E}" name="Impressions" dataDxfId="2"/>
    <tableColumn id="4" xr3:uid="{57A78DB7-E306-403C-AE39-415DDA1E983F}" name="Engagem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2A7E-156A-4D44-A58F-297494FB9D18}">
  <dimension ref="A1:D11"/>
  <sheetViews>
    <sheetView workbookViewId="0">
      <selection activeCell="J12" sqref="J12"/>
    </sheetView>
  </sheetViews>
  <sheetFormatPr defaultRowHeight="14.5" x14ac:dyDescent="0.35"/>
  <cols>
    <col min="1" max="4" width="17.6328125" style="1" customWidth="1"/>
  </cols>
  <sheetData>
    <row r="1" spans="1:4" x14ac:dyDescent="0.35">
      <c r="A1" s="5" t="s">
        <v>0</v>
      </c>
      <c r="B1" s="6" t="s">
        <v>1</v>
      </c>
      <c r="C1" s="6" t="s">
        <v>2</v>
      </c>
      <c r="D1" s="7" t="s">
        <v>3</v>
      </c>
    </row>
    <row r="2" spans="1:4" ht="14.5" customHeight="1" x14ac:dyDescent="0.35">
      <c r="A2" s="3" t="s">
        <v>4</v>
      </c>
      <c r="B2" s="2" t="s">
        <v>5</v>
      </c>
      <c r="C2" s="2">
        <v>214</v>
      </c>
      <c r="D2" s="4">
        <v>4</v>
      </c>
    </row>
    <row r="3" spans="1:4" x14ac:dyDescent="0.35">
      <c r="A3" s="3" t="s">
        <v>6</v>
      </c>
      <c r="B3" s="2" t="s">
        <v>5</v>
      </c>
      <c r="C3" s="2">
        <v>93</v>
      </c>
      <c r="D3" s="4">
        <v>0</v>
      </c>
    </row>
    <row r="4" spans="1:4" x14ac:dyDescent="0.35">
      <c r="A4" s="3" t="s">
        <v>7</v>
      </c>
      <c r="B4" s="2" t="s">
        <v>8</v>
      </c>
      <c r="C4" s="2">
        <v>41</v>
      </c>
      <c r="D4" s="4">
        <v>0</v>
      </c>
    </row>
    <row r="5" spans="1:4" x14ac:dyDescent="0.35">
      <c r="A5" s="3" t="s">
        <v>9</v>
      </c>
      <c r="B5" s="2" t="s">
        <v>10</v>
      </c>
      <c r="C5" s="2">
        <v>38</v>
      </c>
      <c r="D5" s="4">
        <v>1</v>
      </c>
    </row>
    <row r="6" spans="1:4" x14ac:dyDescent="0.35">
      <c r="A6" s="3" t="s">
        <v>11</v>
      </c>
      <c r="B6" s="2" t="s">
        <v>12</v>
      </c>
      <c r="C6" s="2">
        <v>57</v>
      </c>
      <c r="D6" s="4">
        <v>2</v>
      </c>
    </row>
    <row r="7" spans="1:4" x14ac:dyDescent="0.35">
      <c r="A7" s="3" t="s">
        <v>13</v>
      </c>
      <c r="B7" s="2" t="s">
        <v>5</v>
      </c>
      <c r="C7" s="2">
        <v>76</v>
      </c>
      <c r="D7" s="4">
        <v>3</v>
      </c>
    </row>
    <row r="8" spans="1:4" x14ac:dyDescent="0.35">
      <c r="A8" s="3" t="s">
        <v>14</v>
      </c>
      <c r="B8" s="2" t="s">
        <v>10</v>
      </c>
      <c r="C8" s="2">
        <v>45</v>
      </c>
      <c r="D8" s="4">
        <v>2</v>
      </c>
    </row>
    <row r="9" spans="1:4" x14ac:dyDescent="0.35">
      <c r="A9" s="3" t="s">
        <v>15</v>
      </c>
      <c r="B9" s="2" t="s">
        <v>8</v>
      </c>
      <c r="C9" s="2">
        <v>31</v>
      </c>
      <c r="D9" s="4">
        <v>1</v>
      </c>
    </row>
    <row r="10" spans="1:4" x14ac:dyDescent="0.35">
      <c r="A10" s="3" t="s">
        <v>16</v>
      </c>
      <c r="B10" s="2" t="s">
        <v>12</v>
      </c>
      <c r="C10" s="2">
        <v>29</v>
      </c>
      <c r="D10" s="4">
        <v>2</v>
      </c>
    </row>
    <row r="11" spans="1:4" x14ac:dyDescent="0.35">
      <c r="A11" s="8" t="s">
        <v>17</v>
      </c>
      <c r="B11" s="9" t="s">
        <v>8</v>
      </c>
      <c r="C11" s="9">
        <v>23</v>
      </c>
      <c r="D11" s="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D977-7049-4845-B603-F480AB125E46}">
  <dimension ref="A1:B18"/>
  <sheetViews>
    <sheetView tabSelected="1" zoomScale="58" workbookViewId="0">
      <selection activeCell="E23" sqref="E23"/>
    </sheetView>
  </sheetViews>
  <sheetFormatPr defaultRowHeight="14.5" x14ac:dyDescent="0.35"/>
  <cols>
    <col min="1" max="2" width="24.7265625" customWidth="1"/>
  </cols>
  <sheetData>
    <row r="1" spans="1:2" ht="15" thickBot="1" x14ac:dyDescent="0.4">
      <c r="A1" s="12" t="s">
        <v>18</v>
      </c>
      <c r="B1" s="13"/>
    </row>
    <row r="3" spans="1:2" x14ac:dyDescent="0.35">
      <c r="A3" s="16" t="s">
        <v>19</v>
      </c>
      <c r="B3" s="15" t="s">
        <v>4</v>
      </c>
    </row>
    <row r="5" spans="1:2" x14ac:dyDescent="0.35">
      <c r="A5" s="14" t="s">
        <v>0</v>
      </c>
      <c r="B5" s="14" t="s">
        <v>20</v>
      </c>
    </row>
    <row r="6" spans="1:2" x14ac:dyDescent="0.35">
      <c r="A6" s="11" t="s">
        <v>1</v>
      </c>
      <c r="B6" s="11" t="str">
        <f>VLOOKUP(B3,Table1[#All],2,FALSE)</f>
        <v>Kitchen</v>
      </c>
    </row>
    <row r="7" spans="1:2" x14ac:dyDescent="0.35">
      <c r="A7" s="11" t="s">
        <v>2</v>
      </c>
      <c r="B7" s="11">
        <f>VLOOKUP(B3,Table1[#All],3,FALSE)</f>
        <v>214</v>
      </c>
    </row>
    <row r="8" spans="1:2" x14ac:dyDescent="0.35">
      <c r="A8" s="11" t="s">
        <v>3</v>
      </c>
      <c r="B8" s="11">
        <f>VLOOKUP(B3,Table1[#All],4,FALSE)</f>
        <v>4</v>
      </c>
    </row>
    <row r="10" spans="1:2" x14ac:dyDescent="0.35">
      <c r="A10" s="17" t="s">
        <v>21</v>
      </c>
      <c r="B10" s="17"/>
    </row>
    <row r="13" spans="1:2" x14ac:dyDescent="0.35">
      <c r="A13" s="16" t="s">
        <v>19</v>
      </c>
      <c r="B13" s="15" t="s">
        <v>22</v>
      </c>
    </row>
    <row r="15" spans="1:2" x14ac:dyDescent="0.35">
      <c r="A15" s="14" t="s">
        <v>0</v>
      </c>
      <c r="B15" s="14" t="s">
        <v>20</v>
      </c>
    </row>
    <row r="16" spans="1:2" x14ac:dyDescent="0.35">
      <c r="A16" s="11" t="s">
        <v>1</v>
      </c>
      <c r="B16" s="11" t="str">
        <f>IFERROR(VLOOKUP(B13,Table1[#All],2,FALSE),"Not Found")</f>
        <v>Not Found</v>
      </c>
    </row>
    <row r="17" spans="1:2" x14ac:dyDescent="0.35">
      <c r="A17" s="11" t="s">
        <v>2</v>
      </c>
      <c r="B17" s="11" t="str">
        <f>IFERROR(VLOOKUP(B13,Table1[#All],3,FALSE),"Not Found")</f>
        <v>Not Found</v>
      </c>
    </row>
    <row r="18" spans="1:2" x14ac:dyDescent="0.35">
      <c r="A18" s="11" t="s">
        <v>3</v>
      </c>
      <c r="B18" s="11" t="str">
        <f>IFERROR(VLOOKUP(B13,Table1[#All],4,FALSE),"not found")</f>
        <v>not found</v>
      </c>
    </row>
  </sheetData>
  <mergeCells count="2">
    <mergeCell ref="A1:B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Pin_Data</vt:lpstr>
      <vt:lpstr>Lookup_Practice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2026-10-10T10:07:54Z</dcterms:created>
  <dcterms:modified xsi:type="dcterms:W3CDTF">2026-10-10T11:22:57Z</dcterms:modified>
</cp:coreProperties>
</file>