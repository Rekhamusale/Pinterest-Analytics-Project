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8_Order_of_Operations/"/>
    </mc:Choice>
  </mc:AlternateContent>
  <xr:revisionPtr revIDLastSave="166" documentId="8_{6B0E018E-0594-485C-AD1A-62BE21CE31DB}" xr6:coauthVersionLast="47" xr6:coauthVersionMax="47" xr10:uidLastSave="{F784169C-35F3-43A0-B325-6EE636A4E360}"/>
  <bookViews>
    <workbookView xWindow="-110" yWindow="-110" windowWidth="19420" windowHeight="10300" activeTab="1" xr2:uid="{4459A653-6C18-46E3-937E-5C7A6443234A}"/>
  </bookViews>
  <sheets>
    <sheet name="README" sheetId="1" r:id="rId1"/>
    <sheet name="CALCULATIONS" sheetId="2" r:id="rId2"/>
    <sheet name="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C3" i="3"/>
  <c r="C4" i="3"/>
  <c r="C2" i="3"/>
  <c r="M3" i="2"/>
  <c r="N3" i="2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</calcChain>
</file>

<file path=xl/sharedStrings.xml><?xml version="1.0" encoding="utf-8"?>
<sst xmlns="http://schemas.openxmlformats.org/spreadsheetml/2006/main" count="36" uniqueCount="31">
  <si>
    <t>Product</t>
  </si>
  <si>
    <t>Category</t>
  </si>
  <si>
    <t>Price</t>
  </si>
  <si>
    <t>Quantity</t>
  </si>
  <si>
    <t>Discount%</t>
  </si>
  <si>
    <t>Tax%</t>
  </si>
  <si>
    <t>Lunch Box</t>
  </si>
  <si>
    <t>Leak-Proof Tiffin Box</t>
  </si>
  <si>
    <t>Storage containers</t>
  </si>
  <si>
    <t>Wooden Knife Holder</t>
  </si>
  <si>
    <t>Wooden Spice Box</t>
  </si>
  <si>
    <t>Kids Lunch Box</t>
  </si>
  <si>
    <t>Makeup Organizer</t>
  </si>
  <si>
    <t>Home Gadget</t>
  </si>
  <si>
    <t>Sling Bag</t>
  </si>
  <si>
    <t>Wall Organizer</t>
  </si>
  <si>
    <t>Kitchen Organizer</t>
  </si>
  <si>
    <t>Storage</t>
  </si>
  <si>
    <t>Kitchen</t>
  </si>
  <si>
    <t>Beauty</t>
  </si>
  <si>
    <t>Handbag</t>
  </si>
  <si>
    <t>Total Price</t>
  </si>
  <si>
    <t>Discount Amount</t>
  </si>
  <si>
    <t>Price After Discount</t>
  </si>
  <si>
    <t>Tax Amount</t>
  </si>
  <si>
    <t>Final Price</t>
  </si>
  <si>
    <t>Comparing the Formulas</t>
  </si>
  <si>
    <t>Product Price</t>
  </si>
  <si>
    <t>Discount</t>
  </si>
  <si>
    <t>Formula</t>
  </si>
  <si>
    <t>Different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</si>
</sst>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9" fontId="0" fillId="3" borderId="8" xfId="0" applyNumberFormat="1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9" fontId="0" fillId="8" borderId="8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3" borderId="1" xfId="0" applyNumberFormat="1" applyFill="1" applyBorder="1"/>
    <xf numFmtId="164" fontId="0" fillId="3" borderId="8" xfId="0" applyNumberFormat="1" applyFill="1" applyBorder="1"/>
    <xf numFmtId="164" fontId="2" fillId="2" borderId="4" xfId="0" applyNumberFormat="1" applyFont="1" applyFill="1" applyBorder="1" applyAlignment="1">
      <alignment horizontal="center" vertical="center"/>
    </xf>
    <xf numFmtId="164" fontId="0" fillId="3" borderId="6" xfId="0" applyNumberFormat="1" applyFill="1" applyBorder="1"/>
    <xf numFmtId="164" fontId="0" fillId="3" borderId="9" xfId="0" applyNumberFormat="1" applyFill="1" applyBorder="1"/>
    <xf numFmtId="10" fontId="2" fillId="2" borderId="3" xfId="0" applyNumberFormat="1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10" fontId="0" fillId="0" borderId="0" xfId="0" applyNumberFormat="1"/>
    <xf numFmtId="2" fontId="2" fillId="2" borderId="3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6930-F950-4DAE-80EC-B2C82CC43E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D1B0-AFF0-4955-9134-CB78C3668957}">
  <dimension ref="A1:N11"/>
  <sheetViews>
    <sheetView tabSelected="1" zoomScale="46" workbookViewId="0">
      <selection activeCell="E18" sqref="E18"/>
    </sheetView>
  </sheetViews>
  <sheetFormatPr defaultRowHeight="14.5" x14ac:dyDescent="0.35"/>
  <cols>
    <col min="1" max="2" width="19.453125" customWidth="1"/>
    <col min="3" max="3" width="19.453125" style="29" customWidth="1"/>
    <col min="4" max="4" width="19.453125" style="42" customWidth="1"/>
    <col min="5" max="5" width="19.453125" style="38" customWidth="1"/>
    <col min="6" max="6" width="19.453125" customWidth="1"/>
    <col min="7" max="7" width="19.453125" style="29" customWidth="1"/>
    <col min="8" max="8" width="14.54296875" style="29" customWidth="1"/>
    <col min="9" max="9" width="19.08984375" style="29" customWidth="1"/>
    <col min="10" max="10" width="8.7265625" style="29"/>
    <col min="11" max="11" width="9.26953125" style="29" bestFit="1" customWidth="1"/>
    <col min="13" max="13" width="12.36328125" customWidth="1"/>
    <col min="14" max="14" width="12.1796875" customWidth="1"/>
  </cols>
  <sheetData>
    <row r="1" spans="1:14" ht="23" customHeight="1" thickBot="1" x14ac:dyDescent="0.4">
      <c r="A1" s="13" t="s">
        <v>0</v>
      </c>
      <c r="B1" s="14" t="s">
        <v>1</v>
      </c>
      <c r="C1" s="26" t="s">
        <v>2</v>
      </c>
      <c r="D1" s="39" t="s">
        <v>3</v>
      </c>
      <c r="E1" s="35" t="s">
        <v>4</v>
      </c>
      <c r="F1" s="14" t="s">
        <v>5</v>
      </c>
      <c r="G1" s="26" t="s">
        <v>21</v>
      </c>
      <c r="H1" s="26" t="s">
        <v>22</v>
      </c>
      <c r="I1" s="26" t="s">
        <v>23</v>
      </c>
      <c r="J1" s="26" t="s">
        <v>24</v>
      </c>
      <c r="K1" s="32" t="s">
        <v>25</v>
      </c>
    </row>
    <row r="2" spans="1:14" ht="23" customHeight="1" x14ac:dyDescent="0.35">
      <c r="A2" s="3" t="s">
        <v>7</v>
      </c>
      <c r="B2" s="1" t="s">
        <v>6</v>
      </c>
      <c r="C2" s="27">
        <v>399</v>
      </c>
      <c r="D2" s="40">
        <v>2</v>
      </c>
      <c r="E2" s="36">
        <v>0.1</v>
      </c>
      <c r="F2" s="2">
        <v>0.18</v>
      </c>
      <c r="G2" s="30">
        <f>C2*D2</f>
        <v>798</v>
      </c>
      <c r="H2" s="30">
        <f>G2*E2</f>
        <v>79.800000000000011</v>
      </c>
      <c r="I2" s="30">
        <f>(C2*D2)-((C2*D2)*E2)</f>
        <v>718.2</v>
      </c>
      <c r="J2" s="30">
        <f>I2*F2</f>
        <v>129.27600000000001</v>
      </c>
      <c r="K2" s="33">
        <f>I2+J2</f>
        <v>847.47600000000011</v>
      </c>
      <c r="M2" s="11" t="s">
        <v>26</v>
      </c>
      <c r="N2" s="12"/>
    </row>
    <row r="3" spans="1:14" ht="23" customHeight="1" thickBot="1" x14ac:dyDescent="0.4">
      <c r="A3" s="3" t="s">
        <v>8</v>
      </c>
      <c r="B3" s="1" t="s">
        <v>17</v>
      </c>
      <c r="C3" s="27">
        <v>1999</v>
      </c>
      <c r="D3" s="40">
        <v>1</v>
      </c>
      <c r="E3" s="36">
        <v>0.1</v>
      </c>
      <c r="F3" s="2">
        <v>0.18</v>
      </c>
      <c r="G3" s="30">
        <f t="shared" ref="G3:G11" si="0">C3*D3</f>
        <v>1999</v>
      </c>
      <c r="H3" s="30">
        <f t="shared" ref="H3:H11" si="1">G3*E3</f>
        <v>199.9</v>
      </c>
      <c r="I3" s="30">
        <f t="shared" ref="I3:I11" si="2">(C3*D3)-((C3*D3)*E3)</f>
        <v>1799.1</v>
      </c>
      <c r="J3" s="30">
        <f t="shared" ref="J3:J11" si="3">I3*F3</f>
        <v>323.83799999999997</v>
      </c>
      <c r="K3" s="33">
        <f t="shared" ref="K3:K11" si="4">I3+J3</f>
        <v>2122.9380000000001</v>
      </c>
      <c r="M3" s="9">
        <f>10+5*2</f>
        <v>20</v>
      </c>
      <c r="N3" s="10">
        <f>(10+5)*2</f>
        <v>30</v>
      </c>
    </row>
    <row r="4" spans="1:14" ht="23" customHeight="1" x14ac:dyDescent="0.35">
      <c r="A4" s="3" t="s">
        <v>9</v>
      </c>
      <c r="B4" s="1" t="s">
        <v>18</v>
      </c>
      <c r="C4" s="27">
        <v>899</v>
      </c>
      <c r="D4" s="40">
        <v>2</v>
      </c>
      <c r="E4" s="36">
        <v>0.1</v>
      </c>
      <c r="F4" s="2">
        <v>0.18</v>
      </c>
      <c r="G4" s="30">
        <f t="shared" si="0"/>
        <v>1798</v>
      </c>
      <c r="H4" s="30">
        <f t="shared" si="1"/>
        <v>179.8</v>
      </c>
      <c r="I4" s="30">
        <f t="shared" si="2"/>
        <v>1618.2</v>
      </c>
      <c r="J4" s="30">
        <f t="shared" si="3"/>
        <v>291.27600000000001</v>
      </c>
      <c r="K4" s="33">
        <f t="shared" si="4"/>
        <v>1909.4760000000001</v>
      </c>
    </row>
    <row r="5" spans="1:14" ht="23" customHeight="1" x14ac:dyDescent="0.35">
      <c r="A5" s="3" t="s">
        <v>10</v>
      </c>
      <c r="B5" s="1" t="s">
        <v>18</v>
      </c>
      <c r="C5" s="27">
        <v>699</v>
      </c>
      <c r="D5" s="40">
        <v>3</v>
      </c>
      <c r="E5" s="36">
        <v>0.1</v>
      </c>
      <c r="F5" s="2">
        <v>0.18</v>
      </c>
      <c r="G5" s="30">
        <f t="shared" si="0"/>
        <v>2097</v>
      </c>
      <c r="H5" s="30">
        <f t="shared" si="1"/>
        <v>209.70000000000002</v>
      </c>
      <c r="I5" s="30">
        <f t="shared" si="2"/>
        <v>1887.3</v>
      </c>
      <c r="J5" s="30">
        <f t="shared" si="3"/>
        <v>339.714</v>
      </c>
      <c r="K5" s="33">
        <f t="shared" si="4"/>
        <v>2227.0140000000001</v>
      </c>
    </row>
    <row r="6" spans="1:14" ht="23" customHeight="1" x14ac:dyDescent="0.35">
      <c r="A6" s="3" t="s">
        <v>11</v>
      </c>
      <c r="B6" s="1" t="s">
        <v>6</v>
      </c>
      <c r="C6" s="27">
        <v>499</v>
      </c>
      <c r="D6" s="40">
        <v>2</v>
      </c>
      <c r="E6" s="36">
        <v>0.1</v>
      </c>
      <c r="F6" s="2">
        <v>0.18</v>
      </c>
      <c r="G6" s="30">
        <f t="shared" si="0"/>
        <v>998</v>
      </c>
      <c r="H6" s="30">
        <f t="shared" si="1"/>
        <v>99.800000000000011</v>
      </c>
      <c r="I6" s="30">
        <f t="shared" si="2"/>
        <v>898.2</v>
      </c>
      <c r="J6" s="30">
        <f t="shared" si="3"/>
        <v>161.67600000000002</v>
      </c>
      <c r="K6" s="33">
        <f t="shared" si="4"/>
        <v>1059.876</v>
      </c>
    </row>
    <row r="7" spans="1:14" ht="23" customHeight="1" x14ac:dyDescent="0.35">
      <c r="A7" s="3" t="s">
        <v>12</v>
      </c>
      <c r="B7" s="1" t="s">
        <v>19</v>
      </c>
      <c r="C7" s="27">
        <v>799</v>
      </c>
      <c r="D7" s="40">
        <v>1</v>
      </c>
      <c r="E7" s="36">
        <v>0.1</v>
      </c>
      <c r="F7" s="2">
        <v>0.18</v>
      </c>
      <c r="G7" s="30">
        <f t="shared" si="0"/>
        <v>799</v>
      </c>
      <c r="H7" s="30">
        <f t="shared" si="1"/>
        <v>79.900000000000006</v>
      </c>
      <c r="I7" s="30">
        <f t="shared" si="2"/>
        <v>719.1</v>
      </c>
      <c r="J7" s="30">
        <f t="shared" si="3"/>
        <v>129.43799999999999</v>
      </c>
      <c r="K7" s="33">
        <f t="shared" si="4"/>
        <v>848.53800000000001</v>
      </c>
    </row>
    <row r="8" spans="1:14" ht="23" customHeight="1" x14ac:dyDescent="0.35">
      <c r="A8" s="3" t="s">
        <v>13</v>
      </c>
      <c r="B8" s="1" t="s">
        <v>13</v>
      </c>
      <c r="C8" s="27">
        <v>1299</v>
      </c>
      <c r="D8" s="40">
        <v>2</v>
      </c>
      <c r="E8" s="36">
        <v>0.1</v>
      </c>
      <c r="F8" s="2">
        <v>0.18</v>
      </c>
      <c r="G8" s="30">
        <f t="shared" si="0"/>
        <v>2598</v>
      </c>
      <c r="H8" s="30">
        <f t="shared" si="1"/>
        <v>259.8</v>
      </c>
      <c r="I8" s="30">
        <f t="shared" si="2"/>
        <v>2338.1999999999998</v>
      </c>
      <c r="J8" s="30">
        <f t="shared" si="3"/>
        <v>420.87599999999998</v>
      </c>
      <c r="K8" s="33">
        <f t="shared" si="4"/>
        <v>2759.076</v>
      </c>
    </row>
    <row r="9" spans="1:14" ht="23" customHeight="1" x14ac:dyDescent="0.35">
      <c r="A9" s="3" t="s">
        <v>14</v>
      </c>
      <c r="B9" s="1" t="s">
        <v>20</v>
      </c>
      <c r="C9" s="27">
        <v>999</v>
      </c>
      <c r="D9" s="40">
        <v>1</v>
      </c>
      <c r="E9" s="36">
        <v>0.1</v>
      </c>
      <c r="F9" s="2">
        <v>0.18</v>
      </c>
      <c r="G9" s="30">
        <f t="shared" si="0"/>
        <v>999</v>
      </c>
      <c r="H9" s="30">
        <f t="shared" si="1"/>
        <v>99.9</v>
      </c>
      <c r="I9" s="30">
        <f t="shared" si="2"/>
        <v>899.1</v>
      </c>
      <c r="J9" s="30">
        <f t="shared" si="3"/>
        <v>161.83799999999999</v>
      </c>
      <c r="K9" s="33">
        <f t="shared" si="4"/>
        <v>1060.9380000000001</v>
      </c>
    </row>
    <row r="10" spans="1:14" ht="23" customHeight="1" x14ac:dyDescent="0.35">
      <c r="A10" s="3" t="s">
        <v>15</v>
      </c>
      <c r="B10" s="1" t="s">
        <v>17</v>
      </c>
      <c r="C10" s="27">
        <v>1499</v>
      </c>
      <c r="D10" s="40">
        <v>2</v>
      </c>
      <c r="E10" s="36">
        <v>0.1</v>
      </c>
      <c r="F10" s="2">
        <v>0.18</v>
      </c>
      <c r="G10" s="30">
        <f t="shared" si="0"/>
        <v>2998</v>
      </c>
      <c r="H10" s="30">
        <f t="shared" si="1"/>
        <v>299.8</v>
      </c>
      <c r="I10" s="30">
        <f t="shared" si="2"/>
        <v>2698.2</v>
      </c>
      <c r="J10" s="30">
        <f t="shared" si="3"/>
        <v>485.67599999999993</v>
      </c>
      <c r="K10" s="33">
        <f t="shared" si="4"/>
        <v>3183.8759999999997</v>
      </c>
    </row>
    <row r="11" spans="1:14" ht="23" customHeight="1" thickBot="1" x14ac:dyDescent="0.4">
      <c r="A11" s="4" t="s">
        <v>16</v>
      </c>
      <c r="B11" s="5" t="s">
        <v>18</v>
      </c>
      <c r="C11" s="28">
        <v>1099</v>
      </c>
      <c r="D11" s="41">
        <v>1</v>
      </c>
      <c r="E11" s="37">
        <v>0.1</v>
      </c>
      <c r="F11" s="6">
        <v>0.18</v>
      </c>
      <c r="G11" s="31">
        <f t="shared" si="0"/>
        <v>1099</v>
      </c>
      <c r="H11" s="31">
        <f t="shared" si="1"/>
        <v>109.9</v>
      </c>
      <c r="I11" s="31">
        <f t="shared" si="2"/>
        <v>989.1</v>
      </c>
      <c r="J11" s="31">
        <f t="shared" si="3"/>
        <v>178.03800000000001</v>
      </c>
      <c r="K11" s="34">
        <f t="shared" si="4"/>
        <v>1167.1379999999999</v>
      </c>
    </row>
  </sheetData>
  <mergeCells count="1"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E9B-8E07-4A11-83F3-79BCCBCF6DC4}">
  <dimension ref="A1:C7"/>
  <sheetViews>
    <sheetView workbookViewId="0">
      <selection activeCell="D8" sqref="D8"/>
    </sheetView>
  </sheetViews>
  <sheetFormatPr defaultRowHeight="14.5" x14ac:dyDescent="0.35"/>
  <cols>
    <col min="1" max="1" width="12.453125" customWidth="1"/>
    <col min="2" max="2" width="14.6328125" customWidth="1"/>
    <col min="3" max="3" width="12.453125" customWidth="1"/>
  </cols>
  <sheetData>
    <row r="1" spans="1:3" x14ac:dyDescent="0.35">
      <c r="A1" s="21" t="s">
        <v>27</v>
      </c>
      <c r="B1" s="22" t="s">
        <v>28</v>
      </c>
      <c r="C1" s="23" t="s">
        <v>29</v>
      </c>
    </row>
    <row r="2" spans="1:3" x14ac:dyDescent="0.35">
      <c r="A2" s="15">
        <v>1000</v>
      </c>
      <c r="B2" s="16">
        <v>0.1</v>
      </c>
      <c r="C2" s="17">
        <f>A2-(A2*B2)</f>
        <v>900</v>
      </c>
    </row>
    <row r="3" spans="1:3" x14ac:dyDescent="0.35">
      <c r="A3" s="15">
        <v>2000</v>
      </c>
      <c r="B3" s="16">
        <v>0.15</v>
      </c>
      <c r="C3" s="17">
        <f t="shared" ref="C3:C4" si="0">A3-(A3*B3)</f>
        <v>1700</v>
      </c>
    </row>
    <row r="4" spans="1:3" ht="15" thickBot="1" x14ac:dyDescent="0.4">
      <c r="A4" s="18">
        <v>1500</v>
      </c>
      <c r="B4" s="19">
        <v>0.2</v>
      </c>
      <c r="C4" s="20">
        <f t="shared" si="0"/>
        <v>1200</v>
      </c>
    </row>
    <row r="5" spans="1:3" ht="15" thickBot="1" x14ac:dyDescent="0.4"/>
    <row r="6" spans="1:3" x14ac:dyDescent="0.35">
      <c r="A6" s="24" t="s">
        <v>30</v>
      </c>
      <c r="B6" s="25"/>
    </row>
    <row r="7" spans="1:3" ht="15" thickBot="1" x14ac:dyDescent="0.4">
      <c r="A7" s="7">
        <f>A2-(A2*B2)+((A2-(A2*B2))*18%)</f>
        <v>1062</v>
      </c>
      <c r="B7" s="8"/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CALCULATIONS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2026-09-07T10:44:11Z</dcterms:created>
  <dcterms:modified xsi:type="dcterms:W3CDTF">2026-09-07T11:15:49Z</dcterms:modified>
</cp:coreProperties>
</file>