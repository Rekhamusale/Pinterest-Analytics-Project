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1_Advanced_Excel\"/>
    </mc:Choice>
  </mc:AlternateContent>
  <xr:revisionPtr revIDLastSave="0" documentId="13_ncr:1_{7F5023FF-B067-4C02-8799-89196601F67A}" xr6:coauthVersionLast="47" xr6:coauthVersionMax="47" xr10:uidLastSave="{00000000-0000-0000-0000-000000000000}"/>
  <bookViews>
    <workbookView xWindow="-110" yWindow="-110" windowWidth="19420" windowHeight="10300" activeTab="1" xr2:uid="{0A169DA0-D8EF-4A78-BB11-1808FFF7DD7F}"/>
  </bookViews>
  <sheets>
    <sheet name="Raw_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B21" i="2"/>
  <c r="B20" i="2"/>
  <c r="B19" i="2"/>
  <c r="B18" i="2"/>
  <c r="B14" i="2"/>
  <c r="B13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<sst xmlns="http://schemas.openxmlformats.org/spreadsheetml/2006/main" count="47" uniqueCount="36">
  <si>
    <t>Pinterest Link</t>
  </si>
  <si>
    <t>Impressions</t>
  </si>
  <si>
    <t>Engagement</t>
  </si>
  <si>
    <t>Pin clicks</t>
  </si>
  <si>
    <t>Outbound clicks</t>
  </si>
  <si>
    <t>Saves</t>
  </si>
  <si>
    <t>Category</t>
  </si>
  <si>
    <t>kitchen-organization-ideas</t>
  </si>
  <si>
    <t>Kitchen</t>
  </si>
  <si>
    <t>lunch-boxes-lunch-bags</t>
  </si>
  <si>
    <t>home-decor</t>
  </si>
  <si>
    <t>Home</t>
  </si>
  <si>
    <t>womens-fashion</t>
  </si>
  <si>
    <t>Fashion</t>
  </si>
  <si>
    <t>beauty-self-care</t>
  </si>
  <si>
    <t>Beauty</t>
  </si>
  <si>
    <t>kitchen-storage</t>
  </si>
  <si>
    <t>handbag-fashion</t>
  </si>
  <si>
    <t>home-essentials</t>
  </si>
  <si>
    <t>skincare-products</t>
  </si>
  <si>
    <t>desk-setup</t>
  </si>
  <si>
    <t>Pinterest Analytics Summary</t>
  </si>
  <si>
    <t>Metric</t>
  </si>
  <si>
    <t>Result</t>
  </si>
  <si>
    <t>total Impressions</t>
  </si>
  <si>
    <t>total Engagement</t>
  </si>
  <si>
    <t>Total PinsClicks</t>
  </si>
  <si>
    <t>Total Outbound clicks</t>
  </si>
  <si>
    <t>Total Saves</t>
  </si>
  <si>
    <t>Average Impressions</t>
  </si>
  <si>
    <t>Maximum Impressions</t>
  </si>
  <si>
    <t>Minimum Impressions</t>
  </si>
  <si>
    <t>Engagement Rate</t>
  </si>
  <si>
    <t>OutBound Click Rate</t>
  </si>
  <si>
    <t>Total Impressions</t>
  </si>
  <si>
    <t>Total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</si>
</sst>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0" fontId="0" fillId="7" borderId="4" xfId="0" applyNumberFormat="1" applyFill="1" applyBorder="1" applyAlignment="1">
      <alignment horizontal="center" vertical="center"/>
    </xf>
    <xf numFmtId="10" fontId="0" fillId="7" borderId="9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A1C451-CA34-4B5C-AD22-B4B268812C4B}" name="PinterestData" displayName="PinterestData" ref="A1:G11" totalsRowShown="0" headerRowDxfId="0" dataDxfId="1" headerRowBorderDxfId="10" tableBorderDxfId="11" totalsRowBorderDxfId="9">
  <autoFilter ref="A1:G11" xr:uid="{38A1C451-CA34-4B5C-AD22-B4B268812C4B}"/>
  <tableColumns count="7">
    <tableColumn id="1" xr3:uid="{A743A24B-73DD-4EC6-9499-7814D527C81B}" name="Pinterest Link" dataDxfId="8"/>
    <tableColumn id="2" xr3:uid="{6DE57FB2-4F3B-4FCA-8C36-811517EE707E}" name="Impressions" dataDxfId="7"/>
    <tableColumn id="3" xr3:uid="{88269E60-AA38-4881-8F30-2CC60DEB8471}" name="Engagement" dataDxfId="6"/>
    <tableColumn id="4" xr3:uid="{E9D61BF4-8314-44A6-AC67-0D6E37B7AD4B}" name="Pin clicks" dataDxfId="5"/>
    <tableColumn id="5" xr3:uid="{13E755A8-2B67-45C6-B0B2-827597C70E77}" name="Outbound clicks" dataDxfId="4"/>
    <tableColumn id="6" xr3:uid="{6D45E09C-FC14-431B-B83C-7CDFC39954F9}" name="Saves" dataDxfId="3"/>
    <tableColumn id="7" xr3:uid="{BD6B9865-8D59-4C9E-9AE0-AC824176738E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3FD3-E0F7-4D2A-9303-356C2A5CF46F}">
  <dimension ref="A1:G11"/>
  <sheetViews>
    <sheetView workbookViewId="0">
      <selection activeCell="C4" sqref="C4"/>
    </sheetView>
  </sheetViews>
  <sheetFormatPr defaultRowHeight="14.5" x14ac:dyDescent="0.35"/>
  <cols>
    <col min="1" max="7" width="22.26953125" style="2" customWidth="1"/>
  </cols>
  <sheetData>
    <row r="1" spans="1:7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ht="14.5" customHeight="1" x14ac:dyDescent="0.35">
      <c r="A2" s="4" t="s">
        <v>7</v>
      </c>
      <c r="B2" s="3">
        <v>214</v>
      </c>
      <c r="C2" s="3">
        <v>4</v>
      </c>
      <c r="D2" s="3">
        <v>3</v>
      </c>
      <c r="E2" s="3">
        <v>1</v>
      </c>
      <c r="F2" s="3">
        <v>0</v>
      </c>
      <c r="G2" s="5" t="s">
        <v>8</v>
      </c>
    </row>
    <row r="3" spans="1:7" x14ac:dyDescent="0.35">
      <c r="A3" s="4" t="s">
        <v>9</v>
      </c>
      <c r="B3" s="3">
        <v>93</v>
      </c>
      <c r="C3" s="3">
        <v>0</v>
      </c>
      <c r="D3" s="3">
        <v>0</v>
      </c>
      <c r="E3" s="3">
        <v>0</v>
      </c>
      <c r="F3" s="3">
        <v>0</v>
      </c>
      <c r="G3" s="5" t="s">
        <v>8</v>
      </c>
    </row>
    <row r="4" spans="1:7" x14ac:dyDescent="0.35">
      <c r="A4" s="4" t="s">
        <v>10</v>
      </c>
      <c r="B4" s="3">
        <v>41</v>
      </c>
      <c r="C4" s="3">
        <v>0</v>
      </c>
      <c r="D4" s="3">
        <v>0</v>
      </c>
      <c r="E4" s="3">
        <v>0</v>
      </c>
      <c r="F4" s="3">
        <v>0</v>
      </c>
      <c r="G4" s="5" t="s">
        <v>11</v>
      </c>
    </row>
    <row r="5" spans="1:7" x14ac:dyDescent="0.35">
      <c r="A5" s="4" t="s">
        <v>12</v>
      </c>
      <c r="B5" s="3">
        <v>38</v>
      </c>
      <c r="C5" s="3">
        <v>1</v>
      </c>
      <c r="D5" s="3">
        <v>1</v>
      </c>
      <c r="E5" s="3">
        <v>0</v>
      </c>
      <c r="F5" s="3">
        <v>0</v>
      </c>
      <c r="G5" s="5" t="s">
        <v>13</v>
      </c>
    </row>
    <row r="6" spans="1:7" x14ac:dyDescent="0.35">
      <c r="A6" s="4" t="s">
        <v>14</v>
      </c>
      <c r="B6" s="3">
        <v>57</v>
      </c>
      <c r="C6" s="3">
        <v>2</v>
      </c>
      <c r="D6" s="3">
        <v>1</v>
      </c>
      <c r="E6" s="3">
        <v>0</v>
      </c>
      <c r="F6" s="3">
        <v>1</v>
      </c>
      <c r="G6" s="5" t="s">
        <v>15</v>
      </c>
    </row>
    <row r="7" spans="1:7" x14ac:dyDescent="0.35">
      <c r="A7" s="4" t="s">
        <v>16</v>
      </c>
      <c r="B7" s="3">
        <v>76</v>
      </c>
      <c r="C7" s="3">
        <v>3</v>
      </c>
      <c r="D7" s="3">
        <v>2</v>
      </c>
      <c r="E7" s="3">
        <v>1</v>
      </c>
      <c r="F7" s="3">
        <v>0</v>
      </c>
      <c r="G7" s="5" t="s">
        <v>8</v>
      </c>
    </row>
    <row r="8" spans="1:7" x14ac:dyDescent="0.35">
      <c r="A8" s="4" t="s">
        <v>17</v>
      </c>
      <c r="B8" s="3">
        <v>45</v>
      </c>
      <c r="C8" s="3">
        <v>2</v>
      </c>
      <c r="D8" s="3">
        <v>1</v>
      </c>
      <c r="E8" s="3">
        <v>0</v>
      </c>
      <c r="F8" s="3">
        <v>0</v>
      </c>
      <c r="G8" s="5" t="s">
        <v>13</v>
      </c>
    </row>
    <row r="9" spans="1:7" x14ac:dyDescent="0.35">
      <c r="A9" s="4" t="s">
        <v>18</v>
      </c>
      <c r="B9" s="3">
        <v>31</v>
      </c>
      <c r="C9" s="3">
        <v>1</v>
      </c>
      <c r="D9" s="3">
        <v>0</v>
      </c>
      <c r="E9" s="3">
        <v>0</v>
      </c>
      <c r="F9" s="3">
        <v>0</v>
      </c>
      <c r="G9" s="5" t="s">
        <v>11</v>
      </c>
    </row>
    <row r="10" spans="1:7" x14ac:dyDescent="0.35">
      <c r="A10" s="4" t="s">
        <v>19</v>
      </c>
      <c r="B10" s="3">
        <v>29</v>
      </c>
      <c r="C10" s="3">
        <v>2</v>
      </c>
      <c r="D10" s="3">
        <v>1</v>
      </c>
      <c r="E10" s="3">
        <v>0</v>
      </c>
      <c r="F10" s="3">
        <v>0</v>
      </c>
      <c r="G10" s="5" t="s">
        <v>15</v>
      </c>
    </row>
    <row r="11" spans="1:7" x14ac:dyDescent="0.35">
      <c r="A11" s="9" t="s">
        <v>20</v>
      </c>
      <c r="B11" s="10">
        <v>23</v>
      </c>
      <c r="C11" s="10">
        <v>0</v>
      </c>
      <c r="D11" s="10">
        <v>0</v>
      </c>
      <c r="E11" s="10">
        <v>0</v>
      </c>
      <c r="F11" s="10">
        <v>0</v>
      </c>
      <c r="G11" s="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CCCC-3E03-4668-9F22-A3C4DB01E1D4}">
  <dimension ref="A1:D22"/>
  <sheetViews>
    <sheetView tabSelected="1" zoomScale="50" workbookViewId="0">
      <selection activeCell="D13" sqref="D13"/>
    </sheetView>
  </sheetViews>
  <sheetFormatPr defaultRowHeight="14.5" x14ac:dyDescent="0.35"/>
  <cols>
    <col min="1" max="3" width="28.54296875" style="2" customWidth="1"/>
  </cols>
  <sheetData>
    <row r="1" spans="1:4" x14ac:dyDescent="0.35">
      <c r="A1" s="22" t="s">
        <v>21</v>
      </c>
      <c r="B1" s="22"/>
      <c r="C1" s="22"/>
      <c r="D1" s="22"/>
    </row>
    <row r="3" spans="1:4" x14ac:dyDescent="0.35">
      <c r="A3" s="12" t="s">
        <v>22</v>
      </c>
      <c r="B3" s="12" t="s">
        <v>23</v>
      </c>
    </row>
    <row r="4" spans="1:4" x14ac:dyDescent="0.35">
      <c r="A4" s="13" t="s">
        <v>24</v>
      </c>
      <c r="B4" s="13">
        <f>SUM(PinterestData[Impressions])</f>
        <v>647</v>
      </c>
    </row>
    <row r="5" spans="1:4" x14ac:dyDescent="0.35">
      <c r="A5" s="13" t="s">
        <v>25</v>
      </c>
      <c r="B5" s="13">
        <f>SUM(PinterestData[Engagement])</f>
        <v>15</v>
      </c>
    </row>
    <row r="6" spans="1:4" x14ac:dyDescent="0.35">
      <c r="A6" s="13" t="s">
        <v>26</v>
      </c>
      <c r="B6" s="13">
        <f>SUM(PinterestData[Pin clicks])</f>
        <v>9</v>
      </c>
    </row>
    <row r="7" spans="1:4" x14ac:dyDescent="0.35">
      <c r="A7" s="13" t="s">
        <v>27</v>
      </c>
      <c r="B7" s="13">
        <f>SUM(PinterestData[Outbound clicks])</f>
        <v>2</v>
      </c>
    </row>
    <row r="8" spans="1:4" x14ac:dyDescent="0.35">
      <c r="A8" s="13" t="s">
        <v>28</v>
      </c>
      <c r="B8" s="13">
        <f>SUM(PinterestData[Saves])</f>
        <v>1</v>
      </c>
    </row>
    <row r="9" spans="1:4" x14ac:dyDescent="0.35">
      <c r="A9" s="13" t="s">
        <v>29</v>
      </c>
      <c r="B9" s="13">
        <f>AVERAGE(PinterestData[Impressions])</f>
        <v>64.7</v>
      </c>
    </row>
    <row r="10" spans="1:4" x14ac:dyDescent="0.35">
      <c r="A10" s="13" t="s">
        <v>30</v>
      </c>
      <c r="B10" s="13">
        <f>MAX(PinterestData[Impressions])</f>
        <v>214</v>
      </c>
    </row>
    <row r="11" spans="1:4" x14ac:dyDescent="0.35">
      <c r="A11" s="13" t="s">
        <v>31</v>
      </c>
      <c r="B11" s="13">
        <f>MIN(PinterestData[Impressions])</f>
        <v>23</v>
      </c>
    </row>
    <row r="12" spans="1:4" ht="15" thickBot="1" x14ac:dyDescent="0.4"/>
    <row r="13" spans="1:4" x14ac:dyDescent="0.35">
      <c r="A13" s="27" t="s">
        <v>32</v>
      </c>
      <c r="B13" s="14">
        <f>B5/B4</f>
        <v>2.3183925811437404E-2</v>
      </c>
    </row>
    <row r="14" spans="1:4" ht="15" thickBot="1" x14ac:dyDescent="0.4">
      <c r="A14" s="28" t="s">
        <v>33</v>
      </c>
      <c r="B14" s="15">
        <f>B7/B4</f>
        <v>3.0911901081916537E-3</v>
      </c>
    </row>
    <row r="16" spans="1:4" ht="15" thickBot="1" x14ac:dyDescent="0.4"/>
    <row r="17" spans="1:3" x14ac:dyDescent="0.35">
      <c r="A17" s="23" t="s">
        <v>6</v>
      </c>
      <c r="B17" s="24" t="s">
        <v>34</v>
      </c>
      <c r="C17" s="25" t="s">
        <v>35</v>
      </c>
    </row>
    <row r="18" spans="1:3" x14ac:dyDescent="0.35">
      <c r="A18" s="17" t="s">
        <v>8</v>
      </c>
      <c r="B18" s="26">
        <f>SUMIF(PinterestData[Category],Analysis!A18,PinterestData[Impressions])</f>
        <v>383</v>
      </c>
      <c r="C18" s="18">
        <f>SUMIF(PinterestData[Category],Analysis!A18,PinterestData[Engagement])</f>
        <v>7</v>
      </c>
    </row>
    <row r="19" spans="1:3" x14ac:dyDescent="0.35">
      <c r="A19" s="17" t="s">
        <v>11</v>
      </c>
      <c r="B19" s="16">
        <f>SUMIF(PinterestData[Category],Analysis!A19,PinterestData[Impressions])</f>
        <v>95</v>
      </c>
      <c r="C19" s="18">
        <f>SUMIF(PinterestData[Category],Analysis!A19,PinterestData[Engagement])</f>
        <v>1</v>
      </c>
    </row>
    <row r="20" spans="1:3" x14ac:dyDescent="0.35">
      <c r="A20" s="17" t="s">
        <v>13</v>
      </c>
      <c r="B20" s="16">
        <f>SUMIF(PinterestData[Category],Analysis!A20,PinterestData[Impressions])</f>
        <v>83</v>
      </c>
      <c r="C20" s="18">
        <f>SUMIF(PinterestData[Category],Analysis!A20,PinterestData[Engagement])</f>
        <v>3</v>
      </c>
    </row>
    <row r="21" spans="1:3" ht="15" thickBot="1" x14ac:dyDescent="0.4">
      <c r="A21" s="19" t="s">
        <v>15</v>
      </c>
      <c r="B21" s="20">
        <f>SUMIF(PinterestData[Category],Analysis!A21,PinterestData[Impressions])</f>
        <v>86</v>
      </c>
      <c r="C21" s="21">
        <f>SUMIF(PinterestData[Category],Analysis!A21,PinterestData[Engagement])</f>
        <v>4</v>
      </c>
    </row>
    <row r="22" spans="1:3" x14ac:dyDescent="0.35">
      <c r="A22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2026-10-04T05:40:40Z</dcterms:created>
  <dcterms:modified xsi:type="dcterms:W3CDTF">2026-10-15T07:39:56Z</dcterms:modified>
</cp:coreProperties>
</file>